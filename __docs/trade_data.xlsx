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1C46C4DE-A3BD-4DA6-BE00-394869A26579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7" l="1"/>
  <c r="K12" i="7"/>
  <c r="K18" i="7" s="1"/>
  <c r="K13" i="7"/>
  <c r="K14" i="7"/>
  <c r="K15" i="7"/>
  <c r="K16" i="7"/>
  <c r="K17" i="7"/>
  <c r="K9" i="7"/>
  <c r="I20" i="4"/>
  <c r="J20" i="4"/>
  <c r="K20" i="4"/>
  <c r="L20" i="4"/>
  <c r="I58" i="4"/>
  <c r="J58" i="4"/>
  <c r="K58" i="4"/>
  <c r="L58" i="4"/>
  <c r="I26" i="4"/>
  <c r="J26" i="4"/>
  <c r="K26" i="4"/>
  <c r="L26" i="4"/>
  <c r="I38" i="4"/>
  <c r="J38" i="4"/>
  <c r="K38" i="4"/>
  <c r="L38" i="4"/>
  <c r="I27" i="4"/>
  <c r="J27" i="4"/>
  <c r="K27" i="4"/>
  <c r="L27" i="4"/>
  <c r="N57" i="4"/>
  <c r="O57" i="4"/>
  <c r="P57" i="4"/>
  <c r="Q57" i="4"/>
  <c r="R57" i="4"/>
  <c r="S57" i="4"/>
  <c r="N58" i="4"/>
  <c r="O58" i="4"/>
  <c r="P58" i="4"/>
  <c r="Q58" i="4"/>
  <c r="R58" i="4"/>
  <c r="S58" i="4"/>
  <c r="N59" i="4"/>
  <c r="O59" i="4"/>
  <c r="P59" i="4"/>
  <c r="Q59" i="4"/>
  <c r="R59" i="4"/>
  <c r="S59" i="4"/>
  <c r="N60" i="4"/>
  <c r="O60" i="4"/>
  <c r="P60" i="4"/>
  <c r="Q60" i="4"/>
  <c r="R60" i="4"/>
  <c r="S60" i="4"/>
  <c r="N61" i="4"/>
  <c r="O61" i="4"/>
  <c r="P61" i="4"/>
  <c r="Q61" i="4"/>
  <c r="R61" i="4"/>
  <c r="S61" i="4"/>
  <c r="I29" i="4"/>
  <c r="J12" i="7"/>
  <c r="J18" i="7" s="1"/>
  <c r="J13" i="7"/>
  <c r="J14" i="7"/>
  <c r="J15" i="7"/>
  <c r="J16" i="7"/>
  <c r="J17" i="7"/>
  <c r="J11" i="7"/>
  <c r="J9" i="7"/>
  <c r="C9" i="7"/>
  <c r="D9" i="7"/>
  <c r="E9" i="7"/>
  <c r="F9" i="7"/>
  <c r="G9" i="7"/>
  <c r="H9" i="7"/>
  <c r="I9" i="7"/>
  <c r="B9" i="7"/>
  <c r="I12" i="7"/>
  <c r="I18" i="7" s="1"/>
  <c r="I13" i="7"/>
  <c r="I14" i="7"/>
  <c r="I15" i="7"/>
  <c r="I16" i="7"/>
  <c r="I17" i="7"/>
  <c r="I11" i="7"/>
  <c r="I17" i="4"/>
  <c r="J17" i="4"/>
  <c r="K17" i="4"/>
  <c r="L17" i="4"/>
  <c r="N54" i="4"/>
  <c r="O54" i="4"/>
  <c r="P54" i="4"/>
  <c r="Q54" i="4"/>
  <c r="R54" i="4"/>
  <c r="S54" i="4"/>
  <c r="L29" i="4"/>
  <c r="N55" i="4"/>
  <c r="O55" i="4"/>
  <c r="P55" i="4"/>
  <c r="Q55" i="4"/>
  <c r="R55" i="4"/>
  <c r="S55" i="4"/>
  <c r="I22" i="4"/>
  <c r="J22" i="4"/>
  <c r="K22" i="4"/>
  <c r="L22" i="4"/>
  <c r="N56" i="4"/>
  <c r="O56" i="4"/>
  <c r="P56" i="4"/>
  <c r="Q56" i="4"/>
  <c r="R56" i="4"/>
  <c r="S56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54" i="4"/>
  <c r="J54" i="4"/>
  <c r="K54" i="4"/>
  <c r="L54" i="4"/>
  <c r="I49" i="4"/>
  <c r="J49" i="4"/>
  <c r="K49" i="4"/>
  <c r="L49" i="4"/>
  <c r="I56" i="4"/>
  <c r="J56" i="4"/>
  <c r="K56" i="4"/>
  <c r="L56" i="4"/>
  <c r="I50" i="4"/>
  <c r="J50" i="4"/>
  <c r="K50" i="4"/>
  <c r="L50" i="4"/>
  <c r="I6" i="4"/>
  <c r="J6" i="4"/>
  <c r="K6" i="4"/>
  <c r="L6" i="4"/>
  <c r="I21" i="4"/>
  <c r="J21" i="4"/>
  <c r="K21" i="4"/>
  <c r="L21" i="4"/>
  <c r="I32" i="4"/>
  <c r="J32" i="4"/>
  <c r="K32" i="4"/>
  <c r="L32" i="4"/>
  <c r="I18" i="4"/>
  <c r="J18" i="4"/>
  <c r="K18" i="4"/>
  <c r="L18" i="4"/>
  <c r="I57" i="4"/>
  <c r="J57" i="4"/>
  <c r="K57" i="4"/>
  <c r="L57" i="4"/>
  <c r="D23" i="5"/>
  <c r="E23" i="5"/>
  <c r="F23" i="5"/>
  <c r="G23" i="5"/>
  <c r="D49" i="5"/>
  <c r="E49" i="5"/>
  <c r="F49" i="5"/>
  <c r="G49" i="5"/>
  <c r="D5" i="5"/>
  <c r="E5" i="5"/>
  <c r="F5" i="5"/>
  <c r="G5" i="5"/>
  <c r="D24" i="5"/>
  <c r="E24" i="5"/>
  <c r="F24" i="5"/>
  <c r="G24" i="5"/>
  <c r="D16" i="5"/>
  <c r="E16" i="5"/>
  <c r="F16" i="5"/>
  <c r="G16" i="5"/>
  <c r="D46" i="5"/>
  <c r="E46" i="5"/>
  <c r="F46" i="5"/>
  <c r="G46" i="5"/>
  <c r="D50" i="5"/>
  <c r="E50" i="5"/>
  <c r="F50" i="5"/>
  <c r="G50" i="5"/>
  <c r="D51" i="5"/>
  <c r="E51" i="5"/>
  <c r="F51" i="5"/>
  <c r="G51" i="5"/>
  <c r="D19" i="5"/>
  <c r="E19" i="5"/>
  <c r="F19" i="5"/>
  <c r="G19" i="5"/>
  <c r="B23" i="5"/>
  <c r="C23" i="5" s="1"/>
  <c r="B49" i="5"/>
  <c r="C49" i="5" s="1"/>
  <c r="B5" i="5"/>
  <c r="C5" i="5" s="1"/>
  <c r="B24" i="5"/>
  <c r="C24" i="5" s="1"/>
  <c r="B16" i="5"/>
  <c r="C16" i="5" s="1"/>
  <c r="B46" i="5"/>
  <c r="C46" i="5" s="1"/>
  <c r="B50" i="5"/>
  <c r="C50" i="5" s="1"/>
  <c r="B51" i="5"/>
  <c r="C51" i="5" s="1"/>
  <c r="B19" i="5"/>
  <c r="C19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44" i="4"/>
  <c r="L13" i="4"/>
  <c r="L42" i="4"/>
  <c r="L11" i="4"/>
  <c r="L33" i="4"/>
  <c r="L39" i="4"/>
  <c r="L10" i="4"/>
  <c r="L61" i="4"/>
  <c r="L52" i="4"/>
  <c r="L14" i="4"/>
  <c r="L5" i="4"/>
  <c r="L55" i="4"/>
  <c r="L31" i="4"/>
  <c r="L19" i="4"/>
  <c r="L4" i="4"/>
  <c r="L25" i="4"/>
  <c r="L34" i="4"/>
  <c r="L9" i="4"/>
  <c r="L2" i="4"/>
  <c r="L15" i="4"/>
  <c r="L60" i="4"/>
  <c r="L45" i="4"/>
  <c r="L40" i="4"/>
  <c r="L53" i="4"/>
  <c r="L48" i="4"/>
  <c r="L41" i="4"/>
  <c r="L24" i="4"/>
  <c r="L30" i="4"/>
  <c r="L12" i="4"/>
  <c r="L23" i="4"/>
  <c r="L51" i="4"/>
  <c r="L35" i="4"/>
  <c r="L8" i="4"/>
  <c r="L36" i="4"/>
  <c r="L16" i="4"/>
  <c r="L47" i="4"/>
  <c r="L28" i="4"/>
  <c r="L37" i="4"/>
  <c r="L59" i="4"/>
  <c r="L3" i="4"/>
  <c r="L7" i="4"/>
  <c r="L43" i="4"/>
  <c r="L46" i="4"/>
  <c r="R53" i="4"/>
  <c r="R49" i="4"/>
  <c r="P48" i="4"/>
  <c r="R47" i="4"/>
  <c r="P45" i="4"/>
  <c r="R41" i="4"/>
  <c r="R39" i="4"/>
  <c r="R35" i="4"/>
  <c r="P30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44" i="4"/>
  <c r="K44" i="4"/>
  <c r="J13" i="4"/>
  <c r="K13" i="4"/>
  <c r="J42" i="4"/>
  <c r="K42" i="4"/>
  <c r="J11" i="4"/>
  <c r="K11" i="4"/>
  <c r="J33" i="4"/>
  <c r="K33" i="4"/>
  <c r="J39" i="4"/>
  <c r="K39" i="4"/>
  <c r="J10" i="4"/>
  <c r="K10" i="4"/>
  <c r="J61" i="4"/>
  <c r="K61" i="4"/>
  <c r="J52" i="4"/>
  <c r="K52" i="4"/>
  <c r="J14" i="4"/>
  <c r="K14" i="4"/>
  <c r="J5" i="4"/>
  <c r="K5" i="4"/>
  <c r="J55" i="4"/>
  <c r="K55" i="4"/>
  <c r="J31" i="4"/>
  <c r="K31" i="4"/>
  <c r="J19" i="4"/>
  <c r="K19" i="4"/>
  <c r="J4" i="4"/>
  <c r="K4" i="4"/>
  <c r="J25" i="4"/>
  <c r="K25" i="4"/>
  <c r="J34" i="4"/>
  <c r="K34" i="4"/>
  <c r="J9" i="4"/>
  <c r="K9" i="4"/>
  <c r="J2" i="4"/>
  <c r="K2" i="4"/>
  <c r="J15" i="4"/>
  <c r="K15" i="4"/>
  <c r="J60" i="4"/>
  <c r="K60" i="4"/>
  <c r="J45" i="4"/>
  <c r="K45" i="4"/>
  <c r="J40" i="4"/>
  <c r="K40" i="4"/>
  <c r="J53" i="4"/>
  <c r="K53" i="4"/>
  <c r="J48" i="4"/>
  <c r="K48" i="4"/>
  <c r="J41" i="4"/>
  <c r="K41" i="4"/>
  <c r="J24" i="4"/>
  <c r="K24" i="4"/>
  <c r="J30" i="4"/>
  <c r="K30" i="4"/>
  <c r="J12" i="4"/>
  <c r="K12" i="4"/>
  <c r="J23" i="4"/>
  <c r="K23" i="4"/>
  <c r="J51" i="4"/>
  <c r="K51" i="4"/>
  <c r="J35" i="4"/>
  <c r="K35" i="4"/>
  <c r="J8" i="4"/>
  <c r="K8" i="4"/>
  <c r="J36" i="4"/>
  <c r="K36" i="4"/>
  <c r="J16" i="4"/>
  <c r="K16" i="4"/>
  <c r="J47" i="4"/>
  <c r="K47" i="4"/>
  <c r="J28" i="4"/>
  <c r="K28" i="4"/>
  <c r="J37" i="4"/>
  <c r="K37" i="4"/>
  <c r="J59" i="4"/>
  <c r="K59" i="4"/>
  <c r="J3" i="4"/>
  <c r="K3" i="4"/>
  <c r="J7" i="4"/>
  <c r="K7" i="4"/>
  <c r="J43" i="4"/>
  <c r="K43" i="4"/>
  <c r="K46" i="4"/>
  <c r="J46" i="4"/>
  <c r="I44" i="4"/>
  <c r="I13" i="4"/>
  <c r="I42" i="4"/>
  <c r="I11" i="4"/>
  <c r="I33" i="4"/>
  <c r="I39" i="4"/>
  <c r="I10" i="4"/>
  <c r="I61" i="4"/>
  <c r="I52" i="4"/>
  <c r="I14" i="4"/>
  <c r="I5" i="4"/>
  <c r="I55" i="4"/>
  <c r="I31" i="4"/>
  <c r="I19" i="4"/>
  <c r="I4" i="4"/>
  <c r="I25" i="4"/>
  <c r="I34" i="4"/>
  <c r="I9" i="4"/>
  <c r="I2" i="4"/>
  <c r="I15" i="4"/>
  <c r="I60" i="4"/>
  <c r="I45" i="4"/>
  <c r="I40" i="4"/>
  <c r="I53" i="4"/>
  <c r="I48" i="4"/>
  <c r="I41" i="4"/>
  <c r="I24" i="4"/>
  <c r="I30" i="4"/>
  <c r="I12" i="4"/>
  <c r="I23" i="4"/>
  <c r="I51" i="4"/>
  <c r="I35" i="4"/>
  <c r="I8" i="4"/>
  <c r="I36" i="4"/>
  <c r="I16" i="4"/>
  <c r="I47" i="4"/>
  <c r="I28" i="4"/>
  <c r="I37" i="4"/>
  <c r="I59" i="4"/>
  <c r="I3" i="4"/>
  <c r="I7" i="4"/>
  <c r="I43" i="4"/>
  <c r="I46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27" i="5"/>
  <c r="G18" i="5"/>
  <c r="G7" i="5"/>
  <c r="G42" i="5"/>
  <c r="G62" i="5"/>
  <c r="G60" i="5"/>
  <c r="G15" i="5"/>
  <c r="G14" i="5"/>
  <c r="G38" i="5"/>
  <c r="G25" i="5"/>
  <c r="G57" i="5"/>
  <c r="G39" i="5"/>
  <c r="G40" i="5"/>
  <c r="G9" i="5"/>
  <c r="G37" i="5"/>
  <c r="G48" i="5"/>
  <c r="G36" i="5"/>
  <c r="G34" i="5"/>
  <c r="G32" i="5"/>
  <c r="G33" i="5"/>
  <c r="G17" i="5"/>
  <c r="G20" i="5"/>
  <c r="G6" i="5"/>
  <c r="G53" i="5"/>
  <c r="G31" i="5"/>
  <c r="G11" i="5"/>
  <c r="G45" i="5"/>
  <c r="G54" i="5"/>
  <c r="G61" i="5"/>
  <c r="G4" i="5"/>
  <c r="G26" i="5"/>
  <c r="G52" i="5"/>
  <c r="G43" i="5"/>
  <c r="G44" i="5"/>
  <c r="G12" i="5"/>
  <c r="G3" i="5"/>
  <c r="G8" i="5"/>
  <c r="G21" i="5"/>
  <c r="G13" i="5"/>
  <c r="G28" i="5"/>
  <c r="G35" i="5"/>
  <c r="G29" i="5"/>
  <c r="G30" i="5"/>
  <c r="G63" i="5"/>
  <c r="G64" i="5"/>
  <c r="G59" i="5"/>
  <c r="G65" i="5"/>
  <c r="G66" i="5"/>
  <c r="G47" i="5"/>
  <c r="G41" i="5"/>
  <c r="G58" i="5"/>
  <c r="G67" i="5"/>
  <c r="G68" i="5"/>
  <c r="G69" i="5"/>
  <c r="G10" i="5"/>
  <c r="G70" i="5"/>
  <c r="G71" i="5"/>
  <c r="G72" i="5"/>
  <c r="G73" i="5"/>
  <c r="G56" i="5"/>
  <c r="G74" i="5"/>
  <c r="G75" i="5"/>
  <c r="G22" i="5"/>
  <c r="G55" i="5"/>
  <c r="F27" i="5"/>
  <c r="F18" i="5"/>
  <c r="F7" i="5"/>
  <c r="F42" i="5"/>
  <c r="F62" i="5"/>
  <c r="F60" i="5"/>
  <c r="F15" i="5"/>
  <c r="F14" i="5"/>
  <c r="F38" i="5"/>
  <c r="F25" i="5"/>
  <c r="F57" i="5"/>
  <c r="F39" i="5"/>
  <c r="F40" i="5"/>
  <c r="F9" i="5"/>
  <c r="F37" i="5"/>
  <c r="F48" i="5"/>
  <c r="F36" i="5"/>
  <c r="F34" i="5"/>
  <c r="F32" i="5"/>
  <c r="F33" i="5"/>
  <c r="F17" i="5"/>
  <c r="F20" i="5"/>
  <c r="F6" i="5"/>
  <c r="F53" i="5"/>
  <c r="F31" i="5"/>
  <c r="F11" i="5"/>
  <c r="F45" i="5"/>
  <c r="F54" i="5"/>
  <c r="F61" i="5"/>
  <c r="F4" i="5"/>
  <c r="F26" i="5"/>
  <c r="F52" i="5"/>
  <c r="F43" i="5"/>
  <c r="F44" i="5"/>
  <c r="F12" i="5"/>
  <c r="F3" i="5"/>
  <c r="F8" i="5"/>
  <c r="F21" i="5"/>
  <c r="F13" i="5"/>
  <c r="F28" i="5"/>
  <c r="F35" i="5"/>
  <c r="F29" i="5"/>
  <c r="F30" i="5"/>
  <c r="F63" i="5"/>
  <c r="F64" i="5"/>
  <c r="F59" i="5"/>
  <c r="F65" i="5"/>
  <c r="F66" i="5"/>
  <c r="F47" i="5"/>
  <c r="F41" i="5"/>
  <c r="F58" i="5"/>
  <c r="F67" i="5"/>
  <c r="F68" i="5"/>
  <c r="F69" i="5"/>
  <c r="F10" i="5"/>
  <c r="F70" i="5"/>
  <c r="F71" i="5"/>
  <c r="F72" i="5"/>
  <c r="F73" i="5"/>
  <c r="F56" i="5"/>
  <c r="F74" i="5"/>
  <c r="F75" i="5"/>
  <c r="F22" i="5"/>
  <c r="F55" i="5"/>
  <c r="E27" i="5"/>
  <c r="E18" i="5"/>
  <c r="E7" i="5"/>
  <c r="E42" i="5"/>
  <c r="E62" i="5"/>
  <c r="E60" i="5"/>
  <c r="E15" i="5"/>
  <c r="E14" i="5"/>
  <c r="E38" i="5"/>
  <c r="E25" i="5"/>
  <c r="E57" i="5"/>
  <c r="E39" i="5"/>
  <c r="E40" i="5"/>
  <c r="E9" i="5"/>
  <c r="E37" i="5"/>
  <c r="E48" i="5"/>
  <c r="E36" i="5"/>
  <c r="E34" i="5"/>
  <c r="E32" i="5"/>
  <c r="E33" i="5"/>
  <c r="E17" i="5"/>
  <c r="E20" i="5"/>
  <c r="E6" i="5"/>
  <c r="E53" i="5"/>
  <c r="E31" i="5"/>
  <c r="E11" i="5"/>
  <c r="E45" i="5"/>
  <c r="E54" i="5"/>
  <c r="E61" i="5"/>
  <c r="E4" i="5"/>
  <c r="E26" i="5"/>
  <c r="E52" i="5"/>
  <c r="E43" i="5"/>
  <c r="E44" i="5"/>
  <c r="E12" i="5"/>
  <c r="E3" i="5"/>
  <c r="E8" i="5"/>
  <c r="E21" i="5"/>
  <c r="E13" i="5"/>
  <c r="E28" i="5"/>
  <c r="E35" i="5"/>
  <c r="E29" i="5"/>
  <c r="E30" i="5"/>
  <c r="E63" i="5"/>
  <c r="E64" i="5"/>
  <c r="E59" i="5"/>
  <c r="E65" i="5"/>
  <c r="E66" i="5"/>
  <c r="E47" i="5"/>
  <c r="E41" i="5"/>
  <c r="E58" i="5"/>
  <c r="E67" i="5"/>
  <c r="E68" i="5"/>
  <c r="E69" i="5"/>
  <c r="E10" i="5"/>
  <c r="E70" i="5"/>
  <c r="E71" i="5"/>
  <c r="E72" i="5"/>
  <c r="E73" i="5"/>
  <c r="E56" i="5"/>
  <c r="E74" i="5"/>
  <c r="E75" i="5"/>
  <c r="E22" i="5"/>
  <c r="E55" i="5"/>
  <c r="D27" i="5"/>
  <c r="D18" i="5"/>
  <c r="D7" i="5"/>
  <c r="D42" i="5"/>
  <c r="D62" i="5"/>
  <c r="D60" i="5"/>
  <c r="D15" i="5"/>
  <c r="D14" i="5"/>
  <c r="D38" i="5"/>
  <c r="D25" i="5"/>
  <c r="D57" i="5"/>
  <c r="D39" i="5"/>
  <c r="D40" i="5"/>
  <c r="D9" i="5"/>
  <c r="D37" i="5"/>
  <c r="D48" i="5"/>
  <c r="D36" i="5"/>
  <c r="D34" i="5"/>
  <c r="D32" i="5"/>
  <c r="D33" i="5"/>
  <c r="D17" i="5"/>
  <c r="D20" i="5"/>
  <c r="D6" i="5"/>
  <c r="D53" i="5"/>
  <c r="D31" i="5"/>
  <c r="D11" i="5"/>
  <c r="D45" i="5"/>
  <c r="D54" i="5"/>
  <c r="D61" i="5"/>
  <c r="D4" i="5"/>
  <c r="D26" i="5"/>
  <c r="D52" i="5"/>
  <c r="D43" i="5"/>
  <c r="D44" i="5"/>
  <c r="D12" i="5"/>
  <c r="D3" i="5"/>
  <c r="D8" i="5"/>
  <c r="D21" i="5"/>
  <c r="D13" i="5"/>
  <c r="D28" i="5"/>
  <c r="D35" i="5"/>
  <c r="D29" i="5"/>
  <c r="D30" i="5"/>
  <c r="D63" i="5"/>
  <c r="D64" i="5"/>
  <c r="D59" i="5"/>
  <c r="D65" i="5"/>
  <c r="D66" i="5"/>
  <c r="D47" i="5"/>
  <c r="D41" i="5"/>
  <c r="D58" i="5"/>
  <c r="D67" i="5"/>
  <c r="D68" i="5"/>
  <c r="D69" i="5"/>
  <c r="D10" i="5"/>
  <c r="D70" i="5"/>
  <c r="D71" i="5"/>
  <c r="D72" i="5"/>
  <c r="D73" i="5"/>
  <c r="D56" i="5"/>
  <c r="D74" i="5"/>
  <c r="D75" i="5"/>
  <c r="D22" i="5"/>
  <c r="D55" i="5"/>
  <c r="B27" i="5"/>
  <c r="C27" i="5" s="1"/>
  <c r="B18" i="5"/>
  <c r="C18" i="5" s="1"/>
  <c r="B7" i="5"/>
  <c r="C7" i="5" s="1"/>
  <c r="B42" i="5"/>
  <c r="C42" i="5" s="1"/>
  <c r="B62" i="5"/>
  <c r="C62" i="5" s="1"/>
  <c r="B60" i="5"/>
  <c r="C60" i="5" s="1"/>
  <c r="B15" i="5"/>
  <c r="C15" i="5" s="1"/>
  <c r="B14" i="5"/>
  <c r="C14" i="5" s="1"/>
  <c r="B38" i="5"/>
  <c r="C38" i="5" s="1"/>
  <c r="B25" i="5"/>
  <c r="C25" i="5" s="1"/>
  <c r="B57" i="5"/>
  <c r="C57" i="5" s="1"/>
  <c r="B39" i="5"/>
  <c r="C39" i="5" s="1"/>
  <c r="B40" i="5"/>
  <c r="C40" i="5" s="1"/>
  <c r="B9" i="5"/>
  <c r="C9" i="5" s="1"/>
  <c r="B37" i="5"/>
  <c r="C37" i="5" s="1"/>
  <c r="B48" i="5"/>
  <c r="C48" i="5" s="1"/>
  <c r="B36" i="5"/>
  <c r="C36" i="5" s="1"/>
  <c r="B34" i="5"/>
  <c r="C34" i="5" s="1"/>
  <c r="B32" i="5"/>
  <c r="C32" i="5" s="1"/>
  <c r="B33" i="5"/>
  <c r="C33" i="5" s="1"/>
  <c r="B17" i="5"/>
  <c r="C17" i="5" s="1"/>
  <c r="B20" i="5"/>
  <c r="C20" i="5" s="1"/>
  <c r="B6" i="5"/>
  <c r="C6" i="5" s="1"/>
  <c r="B53" i="5"/>
  <c r="C53" i="5" s="1"/>
  <c r="B31" i="5"/>
  <c r="C31" i="5" s="1"/>
  <c r="B11" i="5"/>
  <c r="C11" i="5" s="1"/>
  <c r="B45" i="5"/>
  <c r="C45" i="5" s="1"/>
  <c r="B54" i="5"/>
  <c r="C54" i="5" s="1"/>
  <c r="B61" i="5"/>
  <c r="C61" i="5" s="1"/>
  <c r="B4" i="5"/>
  <c r="C4" i="5" s="1"/>
  <c r="B26" i="5"/>
  <c r="C26" i="5" s="1"/>
  <c r="B52" i="5"/>
  <c r="C52" i="5" s="1"/>
  <c r="B43" i="5"/>
  <c r="C43" i="5" s="1"/>
  <c r="B44" i="5"/>
  <c r="C44" i="5" s="1"/>
  <c r="B12" i="5"/>
  <c r="C12" i="5" s="1"/>
  <c r="B3" i="5"/>
  <c r="C3" i="5" s="1"/>
  <c r="B8" i="5"/>
  <c r="C8" i="5" s="1"/>
  <c r="B21" i="5"/>
  <c r="C21" i="5" s="1"/>
  <c r="B13" i="5"/>
  <c r="C13" i="5" s="1"/>
  <c r="B28" i="5"/>
  <c r="C28" i="5" s="1"/>
  <c r="B35" i="5"/>
  <c r="C35" i="5" s="1"/>
  <c r="B29" i="5"/>
  <c r="C29" i="5" s="1"/>
  <c r="B30" i="5"/>
  <c r="C30" i="5" s="1"/>
  <c r="B63" i="5"/>
  <c r="C63" i="5" s="1"/>
  <c r="B64" i="5"/>
  <c r="C64" i="5" s="1"/>
  <c r="B59" i="5"/>
  <c r="C59" i="5" s="1"/>
  <c r="B65" i="5"/>
  <c r="C65" i="5" s="1"/>
  <c r="B66" i="5"/>
  <c r="C66" i="5" s="1"/>
  <c r="B47" i="5"/>
  <c r="C47" i="5" s="1"/>
  <c r="B41" i="5"/>
  <c r="C41" i="5" s="1"/>
  <c r="B58" i="5"/>
  <c r="C58" i="5" s="1"/>
  <c r="B67" i="5"/>
  <c r="C67" i="5" s="1"/>
  <c r="B68" i="5"/>
  <c r="C68" i="5" s="1"/>
  <c r="B69" i="5"/>
  <c r="C69" i="5" s="1"/>
  <c r="B10" i="5"/>
  <c r="C10" i="5" s="1"/>
  <c r="B70" i="5"/>
  <c r="C70" i="5" s="1"/>
  <c r="B71" i="5"/>
  <c r="C71" i="5" s="1"/>
  <c r="B72" i="5"/>
  <c r="C72" i="5" s="1"/>
  <c r="B73" i="5"/>
  <c r="C73" i="5" s="1"/>
  <c r="B56" i="5"/>
  <c r="C56" i="5" s="1"/>
  <c r="B74" i="5"/>
  <c r="C74" i="5" s="1"/>
  <c r="B75" i="5"/>
  <c r="C75" i="5" s="1"/>
  <c r="B22" i="5"/>
  <c r="C22" i="5" s="1"/>
  <c r="B55" i="5"/>
  <c r="C55" i="5" s="1"/>
  <c r="N3" i="4" l="1"/>
  <c r="N15" i="4"/>
  <c r="O8" i="4"/>
  <c r="O18" i="4"/>
  <c r="O32" i="4"/>
  <c r="N46" i="4"/>
  <c r="N36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  <c r="R24" i="4"/>
  <c r="N24" i="4"/>
  <c r="J29" i="4"/>
  <c r="S24" i="4"/>
  <c r="K29" i="4"/>
  <c r="O24" i="4"/>
</calcChain>
</file>

<file path=xl/sharedStrings.xml><?xml version="1.0" encoding="utf-8"?>
<sst xmlns="http://schemas.openxmlformats.org/spreadsheetml/2006/main" count="236" uniqueCount="145">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</sst>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14"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 patternType="solid"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Динамика!$B$2:$K$2</c:f>
              <c:numCache>
                <c:formatCode>m/d/yyyy</c:formatCode>
                <c:ptCount val="1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</c:numCache>
            </c:numRef>
          </c:cat>
          <c:val>
            <c:numRef>
              <c:f>Динамика!$B$3:$K$3</c:f>
              <c:numCache>
                <c:formatCode>General</c:formatCode>
                <c:ptCount val="10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Динамика!$B$2:$K$2</c:f>
              <c:numCache>
                <c:formatCode>m/d/yyyy</c:formatCode>
                <c:ptCount val="1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</c:numCache>
            </c:numRef>
          </c:cat>
          <c:val>
            <c:numRef>
              <c:f>Динамика!$B$4:$K$4</c:f>
              <c:numCache>
                <c:formatCode>General</c:formatCode>
                <c:ptCount val="10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Динамика!$B$2:$K$2</c:f>
              <c:numCache>
                <c:formatCode>m/d/yyyy</c:formatCode>
                <c:ptCount val="1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</c:numCache>
            </c:numRef>
          </c:cat>
          <c:val>
            <c:numRef>
              <c:f>Динамика!$B$5:$K$5</c:f>
              <c:numCache>
                <c:formatCode>General</c:formatCode>
                <c:ptCount val="10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Динамика!$B$2:$K$2</c:f>
              <c:numCache>
                <c:formatCode>m/d/yyyy</c:formatCode>
                <c:ptCount val="1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</c:numCache>
            </c:numRef>
          </c:cat>
          <c:val>
            <c:numRef>
              <c:f>Динамика!$B$6:$K$6</c:f>
              <c:numCache>
                <c:formatCode>General</c:formatCode>
                <c:ptCount val="10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Динамика!$B$2:$K$2</c:f>
              <c:numCache>
                <c:formatCode>m/d/yyyy</c:formatCode>
                <c:ptCount val="1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</c:numCache>
            </c:numRef>
          </c:cat>
          <c:val>
            <c:numRef>
              <c:f>Динамика!$B$7:$K$7</c:f>
              <c:numCache>
                <c:formatCode>General</c:formatCode>
                <c:ptCount val="10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Динамика!$B$2:$K$2</c:f>
              <c:numCache>
                <c:formatCode>m/d/yyyy</c:formatCode>
                <c:ptCount val="1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</c:numCache>
            </c:numRef>
          </c:cat>
          <c:val>
            <c:numRef>
              <c:f>Динамика!$B$8:$K$8</c:f>
              <c:numCache>
                <c:formatCode>General</c:formatCode>
                <c:ptCount val="10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Динамика!$B$2:$K$2</c:f>
              <c:numCache>
                <c:formatCode>m/d/yyyy</c:formatCode>
                <c:ptCount val="10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</c:numCache>
            </c:numRef>
          </c:cat>
          <c:val>
            <c:numRef>
              <c:f>Динамика!$B$9:$K$9</c:f>
              <c:numCache>
                <c:formatCode>General</c:formatCode>
                <c:ptCount val="10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00.967478240738" createdVersion="7" refreshedVersion="7" minRefreshableVersion="3" recordCount="76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60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61.59999999999997"/>
    </cacheField>
    <cacheField name="Отн" numFmtId="0">
      <sharedItems containsString="0" containsBlank="1" containsNumber="1" minValue="-8.58" maxValue="32.320000000000007"/>
    </cacheField>
    <cacheField name="Кол-во" numFmtId="0">
      <sharedItems containsString="0" containsBlank="1" containsNumber="1" containsInteger="1" minValue="1" maxValue="73"/>
    </cacheField>
    <cacheField name="Прибыль" numFmtId="0">
      <sharedItems containsString="0" containsBlank="1" containsNumber="1" containsInteger="1" minValue="0" maxValue="50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23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2.95"/>
    </cacheField>
    <cacheField name="СОП" numFmtId="0">
      <sharedItems containsString="0" containsBlank="1" containsNumber="1" minValue="-3.9" maxValue="0.59000000000000008"/>
    </cacheField>
    <cacheField name="Тип" numFmtId="0">
      <sharedItems containsBlank="1" count="7">
        <s v="PEG"/>
        <s v="WEG"/>
        <s v="LEG"/>
        <s v="UEG"/>
        <s v="S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">
  <r>
    <n v="1"/>
    <s v="PEG17_PHOENIX"/>
    <n v="161.59999999999997"/>
    <n v="32.320000000000007"/>
    <n v="73"/>
    <n v="50"/>
    <n v="0"/>
    <n v="23"/>
    <n v="68.493150684931507"/>
    <n v="2.2136986301369856"/>
    <n v="0.44273972602739736"/>
    <x v="0"/>
  </r>
  <r>
    <n v="2"/>
    <s v="WEG3_BATYA"/>
    <n v="40.700000000000003"/>
    <n v="8.1400000000000023"/>
    <n v="54"/>
    <n v="31"/>
    <n v="1"/>
    <n v="22"/>
    <n v="57.407407407407405"/>
    <n v="0.75370370370370376"/>
    <n v="0.15074074074074079"/>
    <x v="1"/>
  </r>
  <r>
    <n v="3"/>
    <s v="PEG11_KUSURUKEN"/>
    <n v="32.199999999999996"/>
    <n v="6.4400000000000013"/>
    <n v="41"/>
    <n v="20"/>
    <n v="1"/>
    <n v="20"/>
    <n v="48.780487804878049"/>
    <n v="0.78536585365853651"/>
    <n v="0.15707317073170735"/>
    <x v="0"/>
  </r>
  <r>
    <n v="4"/>
    <s v="LEG2_FENNEC"/>
    <n v="29.099999999999998"/>
    <n v="5.8200000000000012"/>
    <n v="24"/>
    <n v="16"/>
    <n v="0"/>
    <n v="8"/>
    <n v="66.666666666666657"/>
    <n v="1.2124999999999999"/>
    <n v="0.24250000000000005"/>
    <x v="2"/>
  </r>
  <r>
    <n v="5"/>
    <s v="UEG8_SOLDIER"/>
    <n v="17.5"/>
    <n v="3.5000000000000004"/>
    <n v="8"/>
    <n v="6"/>
    <n v="0"/>
    <n v="2"/>
    <n v="75"/>
    <n v="2.1875"/>
    <n v="0.43750000000000006"/>
    <x v="3"/>
  </r>
  <r>
    <n v="6"/>
    <s v="WEG4_PUPPY"/>
    <n v="16"/>
    <n v="3.1999999999999993"/>
    <n v="13"/>
    <n v="8"/>
    <n v="1"/>
    <n v="4"/>
    <n v="61.53846153846154"/>
    <n v="1.2307692307692308"/>
    <n v="0.24615384615384611"/>
    <x v="1"/>
  </r>
  <r>
    <n v="7"/>
    <s v="UEG6_ADVENTURE"/>
    <n v="16"/>
    <n v="3.1999999999999993"/>
    <n v="19"/>
    <n v="9"/>
    <n v="2"/>
    <n v="8"/>
    <n v="47.368421052631575"/>
    <n v="0.84210526315789469"/>
    <n v="0.16842105263157892"/>
    <x v="3"/>
  </r>
  <r>
    <n v="8"/>
    <s v="PEG14_RENEGADE"/>
    <n v="15.7"/>
    <n v="3.1400000000000006"/>
    <n v="10"/>
    <n v="5"/>
    <n v="0"/>
    <n v="5"/>
    <n v="50"/>
    <n v="1.5699999999999998"/>
    <n v="0.31400000000000006"/>
    <x v="0"/>
  </r>
  <r>
    <n v="9"/>
    <s v="LEG1_PIN"/>
    <n v="13.900000000000002"/>
    <n v="2.7800000000000002"/>
    <n v="24"/>
    <n v="12"/>
    <n v="1"/>
    <n v="11"/>
    <n v="50"/>
    <n v="0.57916666666666672"/>
    <n v="0.11583333333333334"/>
    <x v="2"/>
  </r>
  <r>
    <n v="11"/>
    <s v="LEG1_LAKSAe"/>
    <n v="13.3"/>
    <n v="2.66"/>
    <n v="6"/>
    <n v="5"/>
    <n v="0"/>
    <n v="1"/>
    <n v="83.333333333333343"/>
    <n v="2.2166666666666668"/>
    <n v="0.44333333333333336"/>
    <x v="2"/>
  </r>
  <r>
    <n v="13"/>
    <s v="SEG1_LITE"/>
    <n v="12.899999999999997"/>
    <n v="2.5799999999999996"/>
    <n v="10"/>
    <n v="7"/>
    <n v="0"/>
    <n v="3"/>
    <n v="70"/>
    <n v="1.2899999999999996"/>
    <n v="0.25799999999999995"/>
    <x v="4"/>
  </r>
  <r>
    <n v="12"/>
    <s v="LEG1_IGOGOSHA2"/>
    <n v="9.9999999999999982"/>
    <n v="2"/>
    <n v="5"/>
    <n v="3"/>
    <n v="0"/>
    <n v="2"/>
    <n v="60"/>
    <n v="1.9999999999999996"/>
    <n v="0.4"/>
    <x v="2"/>
  </r>
  <r>
    <n v="10"/>
    <s v="LEG2_DRINKER"/>
    <n v="9.6000000000000014"/>
    <n v="1.920000000000001"/>
    <n v="22"/>
    <n v="11"/>
    <n v="0"/>
    <n v="11"/>
    <n v="50"/>
    <n v="0.43636363636363645"/>
    <n v="8.7272727272727321E-2"/>
    <x v="2"/>
  </r>
  <r>
    <n v="14"/>
    <s v="PEG18_ANDUIN"/>
    <n v="9.1"/>
    <n v="1.8199999999999998"/>
    <n v="7"/>
    <n v="4"/>
    <n v="0"/>
    <n v="3"/>
    <n v="57.142857142857139"/>
    <n v="1.3"/>
    <n v="0.25999999999999995"/>
    <x v="0"/>
  </r>
  <r>
    <n v="15"/>
    <s v="UEG6_SHERIFF"/>
    <n v="9"/>
    <n v="1.7999999999999998"/>
    <n v="6"/>
    <n v="3"/>
    <n v="0"/>
    <n v="3"/>
    <n v="50"/>
    <n v="1.5"/>
    <n v="0.3"/>
    <x v="3"/>
  </r>
  <r>
    <n v="17"/>
    <s v="VEG1_EARTH"/>
    <n v="7.3000000000000007"/>
    <n v="1.46"/>
    <n v="6"/>
    <n v="3"/>
    <n v="0"/>
    <n v="3"/>
    <n v="50"/>
    <n v="1.2166666666666668"/>
    <n v="0.24333333333333332"/>
    <x v="5"/>
  </r>
  <r>
    <n v="16"/>
    <s v="UEG7_LOVERGOOSE"/>
    <n v="7.0000000000000009"/>
    <n v="1.4"/>
    <n v="5"/>
    <n v="3"/>
    <n v="0"/>
    <n v="2"/>
    <n v="60"/>
    <n v="1.4000000000000001"/>
    <n v="0.27999999999999997"/>
    <x v="3"/>
  </r>
  <r>
    <n v="19"/>
    <s v="LEG2_LYNX"/>
    <n v="6.4999999999999929"/>
    <n v="1.2999999999999989"/>
    <n v="26"/>
    <n v="15"/>
    <n v="0"/>
    <n v="11"/>
    <n v="57.692307692307686"/>
    <n v="0.24999999999999972"/>
    <n v="4.9999999999999961E-2"/>
    <x v="2"/>
  </r>
  <r>
    <n v="18"/>
    <s v="PEG30_ETC2"/>
    <n v="5.9"/>
    <n v="1.1800000000000002"/>
    <n v="2"/>
    <n v="2"/>
    <n v="0"/>
    <n v="0"/>
    <n v="100"/>
    <n v="2.95"/>
    <n v="0.59000000000000008"/>
    <x v="0"/>
  </r>
  <r>
    <n v="20"/>
    <s v="UEG9_GRAVY2"/>
    <n v="5.0000000000000018"/>
    <n v="1.0000000000000007"/>
    <n v="9"/>
    <n v="5"/>
    <n v="0"/>
    <n v="4"/>
    <n v="55.555555555555557"/>
    <n v="0.5555555555555558"/>
    <n v="0.11111111111111119"/>
    <x v="3"/>
  </r>
  <r>
    <n v="21"/>
    <s v="WEG4_DOG"/>
    <n v="2.4000000000000004"/>
    <n v="0.48000000000000004"/>
    <n v="3"/>
    <n v="1"/>
    <n v="0"/>
    <n v="2"/>
    <n v="33.333333333333329"/>
    <n v="0.80000000000000016"/>
    <n v="0.16"/>
    <x v="1"/>
  </r>
  <r>
    <n v="22"/>
    <s v="SEG3_FORCE"/>
    <n v="1.9000000000000004"/>
    <n v="0.37999999999999989"/>
    <n v="5"/>
    <n v="3"/>
    <n v="0"/>
    <n v="2"/>
    <n v="60"/>
    <n v="0.38000000000000006"/>
    <n v="7.5999999999999984E-2"/>
    <x v="4"/>
  </r>
  <r>
    <n v="23"/>
    <s v="PEG4_U3"/>
    <n v="1.1999999999999993"/>
    <n v="0.23999999999999988"/>
    <n v="8"/>
    <n v="5"/>
    <n v="1"/>
    <n v="2"/>
    <n v="62.5"/>
    <n v="0.14999999999999991"/>
    <n v="2.9999999999999985E-2"/>
    <x v="0"/>
  </r>
  <r>
    <n v="24"/>
    <s v="PEG13_DWDDCr"/>
    <n v="1"/>
    <n v="0.2"/>
    <n v="2"/>
    <n v="1"/>
    <n v="0"/>
    <n v="1"/>
    <n v="50"/>
    <n v="0.5"/>
    <n v="0.1"/>
    <x v="0"/>
  </r>
  <r>
    <n v="25"/>
    <s v="PEG17_SELENDIS"/>
    <n v="0.9"/>
    <n v="0.18"/>
    <n v="1"/>
    <n v="1"/>
    <n v="0"/>
    <n v="0"/>
    <n v="100"/>
    <n v="0.9"/>
    <n v="0.18"/>
    <x v="0"/>
  </r>
  <r>
    <n v="26"/>
    <s v="PEG17_PROBIUS"/>
    <n v="0.5"/>
    <n v="0.1"/>
    <n v="1"/>
    <n v="1"/>
    <n v="0"/>
    <n v="0"/>
    <n v="100"/>
    <n v="0.5"/>
    <n v="0.1"/>
    <x v="0"/>
  </r>
  <r>
    <n v="29"/>
    <s v="UEG7_ADVENTURE"/>
    <n v="0.40000000000000024"/>
    <n v="8.0000000000000016E-2"/>
    <n v="3"/>
    <n v="1"/>
    <n v="0"/>
    <n v="2"/>
    <n v="33.333333333333329"/>
    <n v="0.13333333333333341"/>
    <n v="2.6666666666666672E-2"/>
    <x v="3"/>
  </r>
  <r>
    <n v="27"/>
    <s v="UEG7_DETECTIVE"/>
    <n v="0.39999999999999991"/>
    <n v="8.0000000000000016E-2"/>
    <n v="2"/>
    <n v="1"/>
    <n v="0"/>
    <n v="1"/>
    <n v="50"/>
    <n v="0.19999999999999996"/>
    <n v="4.0000000000000008E-2"/>
    <x v="3"/>
  </r>
  <r>
    <n v="28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35"/>
    <s v="LEG2_LOGAN"/>
    <n v="-0.70000000000000107"/>
    <n v="-0.14000000000000012"/>
    <n v="12"/>
    <n v="9"/>
    <n v="0"/>
    <n v="3"/>
    <n v="75"/>
    <n v="-5.8333333333333424E-2"/>
    <n v="-1.1666666666666678E-2"/>
    <x v="2"/>
  </r>
  <r>
    <n v="36"/>
    <s v="UEG7_CANNIBAL"/>
    <n v="-1"/>
    <n v="-0.19999999999999973"/>
    <n v="9"/>
    <n v="5"/>
    <n v="0"/>
    <n v="4"/>
    <n v="55.555555555555557"/>
    <n v="-0.1111111111111111"/>
    <n v="-2.2222222222222192E-2"/>
    <x v="3"/>
  </r>
  <r>
    <n v="37"/>
    <s v="LEG1_OKROSHKA"/>
    <n v="-1.6"/>
    <n v="-0.32"/>
    <n v="1"/>
    <n v="0"/>
    <n v="0"/>
    <n v="1"/>
    <n v="0"/>
    <n v="-1.6"/>
    <n v="-0.32"/>
    <x v="2"/>
  </r>
  <r>
    <n v="38"/>
    <s v="PEG14_RANGER"/>
    <n v="-1.9000000000000001"/>
    <n v="-0.38"/>
    <n v="2"/>
    <n v="1"/>
    <n v="0"/>
    <n v="1"/>
    <n v="50"/>
    <n v="-0.95000000000000007"/>
    <n v="-0.19"/>
    <x v="0"/>
  </r>
  <r>
    <n v="39"/>
    <s v="UEG4_PELICAN"/>
    <n v="-2.9000000000000004"/>
    <n v="-0.58000000000000007"/>
    <n v="5"/>
    <n v="3"/>
    <n v="0"/>
    <n v="2"/>
    <n v="60"/>
    <n v="-0.58000000000000007"/>
    <n v="-0.11600000000000002"/>
    <x v="3"/>
  </r>
  <r>
    <n v="30"/>
    <s v="UEG6_PIGEON"/>
    <n v="-3.0999999999999983"/>
    <n v="-0.61999999999999988"/>
    <n v="13"/>
    <n v="5"/>
    <n v="0"/>
    <n v="8"/>
    <n v="38.461538461538467"/>
    <n v="-0.23846153846153834"/>
    <n v="-4.7692307692307687E-2"/>
    <x v="3"/>
  </r>
  <r>
    <n v="31"/>
    <s v="UEG7_PIGEON"/>
    <n v="-3.0999999999999996"/>
    <n v="-0.61999999999999988"/>
    <n v="4"/>
    <n v="1"/>
    <n v="0"/>
    <n v="3"/>
    <n v="25"/>
    <n v="-0.77499999999999991"/>
    <n v="-0.15499999999999997"/>
    <x v="3"/>
  </r>
  <r>
    <n v="32"/>
    <s v="PEG17_TEMPLAR"/>
    <n v="-4.3"/>
    <n v="-0.86"/>
    <n v="1"/>
    <n v="0"/>
    <n v="0"/>
    <n v="1"/>
    <n v="0"/>
    <n v="-4.3"/>
    <n v="-0.86"/>
    <x v="0"/>
  </r>
  <r>
    <n v="33"/>
    <s v="LEG1_PHOGA"/>
    <n v="-6"/>
    <n v="-1.2"/>
    <n v="1"/>
    <n v="0"/>
    <n v="0"/>
    <n v="1"/>
    <n v="0"/>
    <n v="-6"/>
    <n v="-1.2"/>
    <x v="2"/>
  </r>
  <r>
    <n v="34"/>
    <s v="PEG18_UTER"/>
    <n v="-6.2"/>
    <n v="-1.24"/>
    <n v="5"/>
    <n v="3"/>
    <n v="1"/>
    <n v="1"/>
    <n v="60"/>
    <n v="-1.24"/>
    <n v="-0.248"/>
    <x v="0"/>
  </r>
  <r>
    <n v="40"/>
    <s v="PEG26_UNKNOWN"/>
    <n v="-7.5"/>
    <n v="-1.5"/>
    <n v="5"/>
    <n v="2"/>
    <n v="0"/>
    <n v="3"/>
    <n v="40"/>
    <n v="-1.5"/>
    <n v="-0.3"/>
    <x v="0"/>
  </r>
  <r>
    <n v="41"/>
    <s v="LEG1_IRONANNY2"/>
    <n v="-7.5"/>
    <n v="-1.5"/>
    <n v="5"/>
    <n v="1"/>
    <n v="0"/>
    <n v="4"/>
    <n v="20"/>
    <n v="-1.5"/>
    <n v="-0.3"/>
    <x v="2"/>
  </r>
  <r>
    <n v="42"/>
    <s v="WEG7_PARADOX"/>
    <n v="-7.5000000000000009"/>
    <n v="-1.5"/>
    <n v="6"/>
    <n v="3"/>
    <n v="0"/>
    <n v="3"/>
    <n v="50"/>
    <n v="-1.2500000000000002"/>
    <n v="-0.25"/>
    <x v="1"/>
  </r>
  <r>
    <n v="43"/>
    <s v="LEG1_CC2"/>
    <n v="-8.8999999999999986"/>
    <n v="-1.7799999999999998"/>
    <n v="8"/>
    <n v="4"/>
    <n v="0"/>
    <n v="4"/>
    <n v="50"/>
    <n v="-1.1124999999999998"/>
    <n v="-0.22249999999999998"/>
    <x v="2"/>
  </r>
  <r>
    <n v="44"/>
    <s v="PEG18_DIABLO2"/>
    <n v="-9.1"/>
    <n v="-1.82"/>
    <n v="5"/>
    <n v="1"/>
    <n v="0"/>
    <n v="4"/>
    <n v="20"/>
    <n v="-1.8199999999999998"/>
    <n v="-0.36399999999999999"/>
    <x v="0"/>
  </r>
  <r>
    <n v="45"/>
    <s v="LEG1_BIBI2"/>
    <n v="-9.4000000000000021"/>
    <n v="-1.879999999999999"/>
    <n v="17"/>
    <n v="8"/>
    <n v="0"/>
    <n v="9"/>
    <n v="47.058823529411761"/>
    <n v="-0.55294117647058838"/>
    <n v="-0.11058823529411758"/>
    <x v="2"/>
  </r>
  <r>
    <n v="46"/>
    <s v="UEG6_VULTURE"/>
    <n v="-9.6999999999999993"/>
    <n v="-1.9400000000000002"/>
    <n v="8"/>
    <n v="3"/>
    <n v="0"/>
    <n v="5"/>
    <n v="37.5"/>
    <n v="-1.2124999999999999"/>
    <n v="-0.24250000000000002"/>
    <x v="3"/>
  </r>
  <r>
    <n v="47"/>
    <s v="PEG19_ANUBARAK"/>
    <n v="-9.6999999999999993"/>
    <n v="-1.94"/>
    <n v="10"/>
    <n v="4"/>
    <n v="0"/>
    <n v="6"/>
    <n v="40"/>
    <n v="-0.97"/>
    <n v="-0.19400000000000001"/>
    <x v="0"/>
  </r>
  <r>
    <n v="48"/>
    <s v="UEG7_CELEBRITY"/>
    <n v="-10.199999999999999"/>
    <n v="-2.04"/>
    <n v="4"/>
    <n v="0"/>
    <n v="0"/>
    <n v="4"/>
    <n v="0"/>
    <n v="-2.5499999999999998"/>
    <n v="-0.51"/>
    <x v="3"/>
  </r>
  <r>
    <n v="49"/>
    <s v="UEG4_PELICAN2"/>
    <n v="-11.4"/>
    <n v="-2.2800000000000002"/>
    <n v="1"/>
    <n v="0"/>
    <n v="0"/>
    <n v="1"/>
    <n v="0"/>
    <n v="-11.4"/>
    <n v="-2.2800000000000002"/>
    <x v="3"/>
  </r>
  <r>
    <n v="50"/>
    <s v="UEG4_FALCON"/>
    <n v="-12"/>
    <n v="-2.4"/>
    <n v="2"/>
    <n v="0"/>
    <n v="0"/>
    <n v="2"/>
    <n v="0"/>
    <n v="-6"/>
    <n v="-1.2"/>
    <x v="3"/>
  </r>
  <r>
    <n v="51"/>
    <s v="LEG2_DRG"/>
    <n v="-12"/>
    <n v="-2.4"/>
    <n v="5"/>
    <n v="2"/>
    <n v="0"/>
    <n v="3"/>
    <n v="40"/>
    <n v="-2.4"/>
    <n v="-0.48"/>
    <x v="2"/>
  </r>
  <r>
    <n v="52"/>
    <s v="PEG18_UTER2"/>
    <n v="-13"/>
    <n v="-2.6000000000000005"/>
    <n v="7"/>
    <n v="3"/>
    <n v="0"/>
    <n v="4"/>
    <n v="42.857142857142854"/>
    <n v="-1.8571428571428572"/>
    <n v="-0.3714285714285715"/>
    <x v="0"/>
  </r>
  <r>
    <n v="53"/>
    <s v="UEG7_CARRIER"/>
    <n v="-13.899999999999999"/>
    <n v="-2.7800000000000002"/>
    <n v="4"/>
    <n v="0"/>
    <n v="0"/>
    <n v="4"/>
    <n v="0"/>
    <n v="-3.4749999999999996"/>
    <n v="-0.69500000000000006"/>
    <x v="3"/>
  </r>
  <r>
    <n v="54"/>
    <s v="LEG2_HOTS"/>
    <n v="-14"/>
    <n v="-2.8"/>
    <n v="4"/>
    <n v="0"/>
    <n v="0"/>
    <n v="4"/>
    <n v="0"/>
    <n v="-3.5"/>
    <n v="-0.7"/>
    <x v="2"/>
  </r>
  <r>
    <n v="55"/>
    <s v="VEG1_MOON"/>
    <n v="-15.8"/>
    <n v="-3.16"/>
    <n v="8"/>
    <n v="2"/>
    <n v="0"/>
    <n v="6"/>
    <n v="25"/>
    <n v="-1.9750000000000001"/>
    <n v="-0.39500000000000002"/>
    <x v="5"/>
  </r>
  <r>
    <n v="56"/>
    <s v="UEG9_BIRDWATCHER2"/>
    <n v="-19.5"/>
    <n v="-3.9"/>
    <n v="1"/>
    <n v="0"/>
    <n v="0"/>
    <n v="1"/>
    <n v="0"/>
    <n v="-19.5"/>
    <n v="-3.9"/>
    <x v="3"/>
  </r>
  <r>
    <n v="57"/>
    <s v="PEG17_ZEALOT"/>
    <n v="-20.099999999999998"/>
    <n v="-4.0199999999999996"/>
    <n v="2"/>
    <n v="0"/>
    <n v="0"/>
    <n v="2"/>
    <n v="0"/>
    <n v="-10.049999999999999"/>
    <n v="-2.0099999999999998"/>
    <x v="0"/>
  </r>
  <r>
    <n v="58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59"/>
    <s v="PEG18_BLAZE"/>
    <n v="-42.699999999999996"/>
    <n v="-8.5399999999999991"/>
    <n v="17"/>
    <n v="7"/>
    <n v="1"/>
    <n v="9"/>
    <n v="41.17647058823529"/>
    <n v="-2.5117647058823529"/>
    <n v="-0.50235294117647056"/>
    <x v="0"/>
  </r>
  <r>
    <n v="60"/>
    <s v="LEG2_ALKASH"/>
    <n v="-42.900000000000006"/>
    <n v="-8.58"/>
    <n v="4"/>
    <n v="0"/>
    <n v="0"/>
    <n v="4"/>
    <n v="0"/>
    <n v="-10.725000000000001"/>
    <n v="-2.145"/>
    <x v="2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4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2"/>
        <item x="0"/>
        <item x="4"/>
        <item x="3"/>
        <item x="5"/>
        <item x="1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B4" sqref="B4:B9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46300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-20.599999999999994</v>
      </c>
      <c r="C4" s="12">
        <v>-4.1199999999999948</v>
      </c>
      <c r="D4" s="12">
        <v>164</v>
      </c>
      <c r="E4" s="12">
        <v>86</v>
      </c>
      <c r="F4" s="12">
        <v>1</v>
      </c>
      <c r="G4" s="12">
        <v>77</v>
      </c>
    </row>
    <row r="5" spans="1:7" x14ac:dyDescent="0.25">
      <c r="A5" s="14" t="s">
        <v>117</v>
      </c>
      <c r="B5" s="12">
        <v>112.89999999999998</v>
      </c>
      <c r="C5" s="12">
        <v>22.580000000000009</v>
      </c>
      <c r="D5" s="12">
        <v>221</v>
      </c>
      <c r="E5" s="12">
        <v>122</v>
      </c>
      <c r="F5" s="12">
        <v>5</v>
      </c>
      <c r="G5" s="12">
        <v>94</v>
      </c>
    </row>
    <row r="6" spans="1:7" x14ac:dyDescent="0.25">
      <c r="A6" s="14" t="s">
        <v>118</v>
      </c>
      <c r="B6" s="12">
        <v>14.799999999999997</v>
      </c>
      <c r="C6" s="12">
        <v>2.9599999999999995</v>
      </c>
      <c r="D6" s="12">
        <v>15</v>
      </c>
      <c r="E6" s="12">
        <v>10</v>
      </c>
      <c r="F6" s="12">
        <v>0</v>
      </c>
      <c r="G6" s="12">
        <v>5</v>
      </c>
    </row>
    <row r="7" spans="1:7" x14ac:dyDescent="0.25">
      <c r="A7" s="14" t="s">
        <v>119</v>
      </c>
      <c r="B7" s="12">
        <v>-31.5</v>
      </c>
      <c r="C7" s="12">
        <v>-6.299999999999998</v>
      </c>
      <c r="D7" s="12">
        <v>103</v>
      </c>
      <c r="E7" s="12">
        <v>45</v>
      </c>
      <c r="F7" s="12">
        <v>2</v>
      </c>
      <c r="G7" s="12">
        <v>56</v>
      </c>
    </row>
    <row r="8" spans="1:7" x14ac:dyDescent="0.25">
      <c r="A8" s="14" t="s">
        <v>120</v>
      </c>
      <c r="B8" s="12">
        <v>-31.200000000000003</v>
      </c>
      <c r="C8" s="12">
        <v>-6.2399999999999993</v>
      </c>
      <c r="D8" s="12">
        <v>33</v>
      </c>
      <c r="E8" s="12">
        <v>14</v>
      </c>
      <c r="F8" s="12">
        <v>0</v>
      </c>
      <c r="G8" s="12">
        <v>19</v>
      </c>
    </row>
    <row r="9" spans="1:7" x14ac:dyDescent="0.25">
      <c r="A9" s="14" t="s">
        <v>121</v>
      </c>
      <c r="B9" s="12">
        <v>51.6</v>
      </c>
      <c r="C9" s="12">
        <v>10.320000000000002</v>
      </c>
      <c r="D9" s="12">
        <v>76</v>
      </c>
      <c r="E9" s="12">
        <v>43</v>
      </c>
      <c r="F9" s="12">
        <v>2</v>
      </c>
      <c r="G9" s="12">
        <v>31</v>
      </c>
    </row>
    <row r="10" spans="1:7" x14ac:dyDescent="0.25">
      <c r="A10" s="14" t="s">
        <v>114</v>
      </c>
      <c r="B10" s="12">
        <v>95.999999999999972</v>
      </c>
      <c r="C10" s="12">
        <v>19.200000000000024</v>
      </c>
      <c r="D10" s="12">
        <v>612</v>
      </c>
      <c r="E10" s="12">
        <v>320</v>
      </c>
      <c r="F10" s="12">
        <v>10</v>
      </c>
      <c r="G10" s="12">
        <v>282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opLeftCell="A19" workbookViewId="0">
      <pane xSplit="1" topLeftCell="B1" activePane="topRight" state="frozen"/>
      <selection pane="topRight" activeCell="N15" sqref="N15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</row>
    <row r="9" spans="1:121" x14ac:dyDescent="0.25">
      <c r="A9" t="s">
        <v>139</v>
      </c>
      <c r="B9">
        <f>SUM(B3:B8)</f>
        <v>6.8999999999999915</v>
      </c>
      <c r="C9">
        <f t="shared" ref="C9:K9" si="0">SUM(C3:C8)</f>
        <v>5.7000000000000028</v>
      </c>
      <c r="D9">
        <f t="shared" si="0"/>
        <v>87.699999999999989</v>
      </c>
      <c r="E9">
        <f t="shared" si="0"/>
        <v>134.99999999999997</v>
      </c>
      <c r="F9">
        <f t="shared" si="0"/>
        <v>156.39999999999998</v>
      </c>
      <c r="G9">
        <f t="shared" si="0"/>
        <v>144</v>
      </c>
      <c r="H9">
        <f t="shared" si="0"/>
        <v>52.399999999999977</v>
      </c>
      <c r="I9">
        <f t="shared" si="0"/>
        <v>106.79999999999998</v>
      </c>
      <c r="J9">
        <f t="shared" si="0"/>
        <v>131.5</v>
      </c>
      <c r="K9">
        <f t="shared" si="0"/>
        <v>95.999999999999972</v>
      </c>
    </row>
    <row r="11" spans="1:121" x14ac:dyDescent="0.25">
      <c r="B11" s="16">
        <f>B2</f>
        <v>46285</v>
      </c>
      <c r="C11" s="16">
        <f t="shared" ref="C11:J11" si="1">C2</f>
        <v>46286</v>
      </c>
      <c r="D11" s="16">
        <f t="shared" si="1"/>
        <v>46287</v>
      </c>
      <c r="E11" s="16">
        <f t="shared" si="1"/>
        <v>46288</v>
      </c>
      <c r="F11" s="16">
        <f t="shared" si="1"/>
        <v>46290</v>
      </c>
      <c r="G11" s="16">
        <f t="shared" si="1"/>
        <v>46293</v>
      </c>
      <c r="H11" s="16">
        <f t="shared" si="1"/>
        <v>46294</v>
      </c>
      <c r="I11" s="16">
        <f t="shared" si="1"/>
        <v>46295</v>
      </c>
      <c r="J11" s="16">
        <f t="shared" si="1"/>
        <v>46297</v>
      </c>
      <c r="K11" s="16">
        <f t="shared" ref="K11" si="2">K2</f>
        <v>46300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K12" si="3">D3-C3</f>
        <v>17.799999999999997</v>
      </c>
      <c r="E12">
        <f t="shared" si="3"/>
        <v>21.200000000000003</v>
      </c>
      <c r="F12">
        <f t="shared" si="3"/>
        <v>29.300000000000011</v>
      </c>
      <c r="G12">
        <f t="shared" si="3"/>
        <v>13.59999999999998</v>
      </c>
      <c r="H12">
        <f t="shared" si="3"/>
        <v>-59.000000000000014</v>
      </c>
      <c r="I12">
        <f t="shared" si="3"/>
        <v>23.500000000000007</v>
      </c>
      <c r="J12">
        <f t="shared" si="3"/>
        <v>5.1999999999999957</v>
      </c>
      <c r="K12">
        <f t="shared" si="3"/>
        <v>-32.299999999999976</v>
      </c>
    </row>
    <row r="13" spans="1:121" x14ac:dyDescent="0.25">
      <c r="A13" t="s">
        <v>117</v>
      </c>
      <c r="B13">
        <f t="shared" ref="B13:B17" si="4">B4</f>
        <v>19.7</v>
      </c>
      <c r="C13">
        <f t="shared" ref="C13:K17" si="5">C4-B4</f>
        <v>31.000000000000004</v>
      </c>
      <c r="D13">
        <f t="shared" si="5"/>
        <v>17.599999999999994</v>
      </c>
      <c r="E13">
        <f t="shared" si="5"/>
        <v>14.700000000000003</v>
      </c>
      <c r="F13">
        <f t="shared" si="5"/>
        <v>0.19999999999998863</v>
      </c>
      <c r="G13">
        <f t="shared" si="5"/>
        <v>2.5</v>
      </c>
      <c r="H13">
        <f t="shared" si="5"/>
        <v>-15.5</v>
      </c>
      <c r="I13">
        <f t="shared" si="5"/>
        <v>15.300000000000011</v>
      </c>
      <c r="J13">
        <f t="shared" si="5"/>
        <v>23.200000000000017</v>
      </c>
      <c r="K13">
        <f t="shared" si="5"/>
        <v>4.1999999999999602</v>
      </c>
    </row>
    <row r="14" spans="1:121" x14ac:dyDescent="0.25">
      <c r="A14" t="s">
        <v>118</v>
      </c>
      <c r="B14">
        <f t="shared" si="4"/>
        <v>1.9</v>
      </c>
      <c r="C14">
        <f t="shared" si="5"/>
        <v>8</v>
      </c>
      <c r="D14">
        <f t="shared" si="5"/>
        <v>6</v>
      </c>
      <c r="E14">
        <f t="shared" si="5"/>
        <v>2.2000000000000011</v>
      </c>
      <c r="F14">
        <f t="shared" si="5"/>
        <v>2.1999999999999957</v>
      </c>
      <c r="G14">
        <f t="shared" si="5"/>
        <v>7.7000000000000028</v>
      </c>
      <c r="H14">
        <f t="shared" si="5"/>
        <v>-10.100000000000001</v>
      </c>
      <c r="I14">
        <f t="shared" si="5"/>
        <v>-5.2000000000000011</v>
      </c>
      <c r="J14">
        <f t="shared" si="5"/>
        <v>2.0999999999999996</v>
      </c>
      <c r="K14">
        <f t="shared" si="5"/>
        <v>0</v>
      </c>
    </row>
    <row r="15" spans="1:121" x14ac:dyDescent="0.25">
      <c r="A15" t="s">
        <v>119</v>
      </c>
      <c r="B15">
        <f t="shared" si="4"/>
        <v>-21</v>
      </c>
      <c r="C15">
        <f t="shared" si="5"/>
        <v>-20</v>
      </c>
      <c r="D15">
        <f t="shared" si="5"/>
        <v>39.6</v>
      </c>
      <c r="E15">
        <f t="shared" si="5"/>
        <v>-0.5</v>
      </c>
      <c r="F15">
        <f t="shared" si="5"/>
        <v>-13.299999999999997</v>
      </c>
      <c r="G15">
        <f t="shared" si="5"/>
        <v>-36.300000000000004</v>
      </c>
      <c r="H15">
        <f t="shared" si="5"/>
        <v>-4.0999999999999943</v>
      </c>
      <c r="I15">
        <f t="shared" si="5"/>
        <v>31.8</v>
      </c>
      <c r="J15">
        <f t="shared" si="5"/>
        <v>8.8000000000000007</v>
      </c>
      <c r="K15">
        <f t="shared" si="5"/>
        <v>-16.500000000000007</v>
      </c>
    </row>
    <row r="16" spans="1:121" x14ac:dyDescent="0.25">
      <c r="A16" t="s">
        <v>120</v>
      </c>
      <c r="B16">
        <f t="shared" si="4"/>
        <v>-18.100000000000001</v>
      </c>
      <c r="C16">
        <f t="shared" si="5"/>
        <v>0</v>
      </c>
      <c r="D16">
        <f t="shared" si="5"/>
        <v>0</v>
      </c>
      <c r="E16">
        <f t="shared" si="5"/>
        <v>-4.5999999999999979</v>
      </c>
      <c r="F16">
        <f t="shared" si="5"/>
        <v>0</v>
      </c>
      <c r="G16">
        <f t="shared" si="5"/>
        <v>-14.799999999999997</v>
      </c>
      <c r="H16">
        <f t="shared" si="5"/>
        <v>0</v>
      </c>
      <c r="I16">
        <f t="shared" si="5"/>
        <v>-9.6000000000000014</v>
      </c>
      <c r="J16">
        <f t="shared" si="5"/>
        <v>-7.7000000000000028</v>
      </c>
      <c r="K16">
        <f t="shared" si="5"/>
        <v>23.6</v>
      </c>
    </row>
    <row r="17" spans="1:11" x14ac:dyDescent="0.25">
      <c r="A17" t="s">
        <v>121</v>
      </c>
      <c r="B17">
        <f t="shared" si="4"/>
        <v>44.5</v>
      </c>
      <c r="C17">
        <f t="shared" si="5"/>
        <v>-0.39999999999999858</v>
      </c>
      <c r="D17">
        <f t="shared" si="5"/>
        <v>1</v>
      </c>
      <c r="E17">
        <f t="shared" si="5"/>
        <v>14.299999999999997</v>
      </c>
      <c r="F17">
        <f t="shared" si="5"/>
        <v>3.0000000000000071</v>
      </c>
      <c r="G17">
        <f t="shared" si="5"/>
        <v>14.899999999999991</v>
      </c>
      <c r="H17">
        <f t="shared" si="5"/>
        <v>-2.8999999999999915</v>
      </c>
      <c r="I17">
        <f t="shared" si="5"/>
        <v>-1.4000000000000057</v>
      </c>
      <c r="J17">
        <f t="shared" si="5"/>
        <v>-6.8999999999999915</v>
      </c>
      <c r="K17">
        <f t="shared" si="5"/>
        <v>-14.500000000000007</v>
      </c>
    </row>
    <row r="18" spans="1:11" x14ac:dyDescent="0.25">
      <c r="A18" t="s">
        <v>139</v>
      </c>
      <c r="B18">
        <f>SUM(B12:B17)</f>
        <v>6.8999999999999915</v>
      </c>
      <c r="C18">
        <f t="shared" ref="C18" si="6">SUM(C12:C17)</f>
        <v>-1.1999999999999922</v>
      </c>
      <c r="D18">
        <f t="shared" ref="D18" si="7">SUM(D12:D17)</f>
        <v>82</v>
      </c>
      <c r="E18">
        <f t="shared" ref="E18" si="8">SUM(E12:E17)</f>
        <v>47.300000000000011</v>
      </c>
      <c r="F18">
        <f t="shared" ref="F18" si="9">SUM(F12:F17)</f>
        <v>21.400000000000006</v>
      </c>
      <c r="G18">
        <f t="shared" ref="G18" si="10">SUM(G12:G17)</f>
        <v>-12.400000000000027</v>
      </c>
      <c r="H18">
        <f t="shared" ref="H18" si="11">SUM(H12:H17)</f>
        <v>-91.600000000000009</v>
      </c>
      <c r="I18">
        <f t="shared" ref="I18:J18" si="12">SUM(I12:I17)</f>
        <v>54.400000000000013</v>
      </c>
      <c r="J18">
        <f t="shared" si="12"/>
        <v>24.700000000000017</v>
      </c>
      <c r="K18">
        <f t="shared" ref="K18" si="13">SUM(K12:K17)</f>
        <v>-35.500000000000028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workbookViewId="0">
      <selection sqref="A1:L1048576"/>
    </sheetView>
  </sheetViews>
  <sheetFormatPr defaultRowHeight="15" x14ac:dyDescent="0.25"/>
  <cols>
    <col min="1" max="1" width="9.140625" customWidth="1"/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161.59999999999997</v>
      </c>
      <c r="D2">
        <v>32.320000000000007</v>
      </c>
      <c r="E2">
        <v>73</v>
      </c>
      <c r="F2">
        <v>50</v>
      </c>
      <c r="G2">
        <v>0</v>
      </c>
      <c r="H2">
        <v>23</v>
      </c>
      <c r="I2" s="7">
        <f>IFERROR((F2/E2)*100,0)</f>
        <v>68.493150684931507</v>
      </c>
      <c r="J2" s="10">
        <f>IFERROR(C2/E2,0)</f>
        <v>2.2136986301369856</v>
      </c>
      <c r="K2" s="10">
        <f>IFERROR(D2/E2,0)</f>
        <v>0.44273972602739736</v>
      </c>
      <c r="L2" s="10" t="str">
        <f>LEFT(B2,3)</f>
        <v>PEG</v>
      </c>
      <c r="N2">
        <f t="shared" ref="N2:S2" si="0">C2+U2</f>
        <v>161.59999999999997</v>
      </c>
      <c r="O2">
        <f t="shared" si="0"/>
        <v>32.320000000000007</v>
      </c>
      <c r="P2">
        <f t="shared" si="0"/>
        <v>73</v>
      </c>
      <c r="Q2">
        <f t="shared" si="0"/>
        <v>50</v>
      </c>
      <c r="R2">
        <f t="shared" si="0"/>
        <v>0</v>
      </c>
      <c r="S2">
        <f t="shared" si="0"/>
        <v>23</v>
      </c>
    </row>
    <row r="3" spans="1:26" x14ac:dyDescent="0.25">
      <c r="A3">
        <v>2</v>
      </c>
      <c r="B3" t="s">
        <v>56</v>
      </c>
      <c r="C3">
        <v>40.700000000000003</v>
      </c>
      <c r="D3">
        <v>8.1400000000000023</v>
      </c>
      <c r="E3">
        <v>54</v>
      </c>
      <c r="F3">
        <v>31</v>
      </c>
      <c r="G3">
        <v>1</v>
      </c>
      <c r="H3">
        <v>22</v>
      </c>
      <c r="I3" s="7">
        <f>IFERROR((F3/E3)*100,0)</f>
        <v>57.407407407407405</v>
      </c>
      <c r="J3" s="10">
        <f>IFERROR(C3/E3,0)</f>
        <v>0.75370370370370376</v>
      </c>
      <c r="K3" s="10">
        <f>IFERROR(D3/E3,0)</f>
        <v>0.15074074074074079</v>
      </c>
      <c r="L3" s="10" t="str">
        <f>LEFT(B3,3)</f>
        <v>WEG</v>
      </c>
      <c r="N3">
        <f t="shared" ref="N3:N53" si="1">C3+U3</f>
        <v>40.700000000000003</v>
      </c>
      <c r="O3">
        <f t="shared" ref="O3:O17" si="2">D3+V3</f>
        <v>8.1400000000000023</v>
      </c>
      <c r="P3">
        <f t="shared" ref="P3:P17" si="3">E3+W3</f>
        <v>54</v>
      </c>
      <c r="Q3">
        <f t="shared" ref="Q3:Q17" si="4">F3+X3</f>
        <v>31</v>
      </c>
      <c r="R3">
        <f t="shared" ref="R3:R17" si="5">G3+Y3</f>
        <v>1</v>
      </c>
      <c r="S3">
        <f t="shared" ref="S3:S17" si="6">H3+Z3</f>
        <v>22</v>
      </c>
    </row>
    <row r="4" spans="1:26" x14ac:dyDescent="0.25">
      <c r="A4">
        <v>3</v>
      </c>
      <c r="B4" t="s">
        <v>64</v>
      </c>
      <c r="C4">
        <v>32.199999999999996</v>
      </c>
      <c r="D4">
        <v>6.4400000000000013</v>
      </c>
      <c r="E4">
        <v>41</v>
      </c>
      <c r="F4">
        <v>20</v>
      </c>
      <c r="G4">
        <v>1</v>
      </c>
      <c r="H4">
        <v>20</v>
      </c>
      <c r="I4" s="7">
        <f>IFERROR((F4/E4)*100,0)</f>
        <v>48.780487804878049</v>
      </c>
      <c r="J4" s="10">
        <f>IFERROR(C4/E4,0)</f>
        <v>0.78536585365853651</v>
      </c>
      <c r="K4" s="10">
        <f>IFERROR(D4/E4,0)</f>
        <v>0.15707317073170735</v>
      </c>
      <c r="L4" s="10" t="str">
        <f>LEFT(B4,3)</f>
        <v>PEG</v>
      </c>
      <c r="N4">
        <f t="shared" si="1"/>
        <v>32.199999999999996</v>
      </c>
      <c r="O4">
        <f t="shared" si="2"/>
        <v>6.4400000000000013</v>
      </c>
      <c r="P4">
        <f t="shared" si="3"/>
        <v>41</v>
      </c>
      <c r="Q4">
        <f t="shared" si="4"/>
        <v>20</v>
      </c>
      <c r="R4">
        <f t="shared" si="5"/>
        <v>1</v>
      </c>
      <c r="S4">
        <f t="shared" si="6"/>
        <v>20</v>
      </c>
    </row>
    <row r="5" spans="1:26" x14ac:dyDescent="0.25">
      <c r="A5">
        <v>4</v>
      </c>
      <c r="B5" t="s">
        <v>62</v>
      </c>
      <c r="C5">
        <v>29.099999999999998</v>
      </c>
      <c r="D5">
        <v>5.8200000000000012</v>
      </c>
      <c r="E5">
        <v>24</v>
      </c>
      <c r="F5">
        <v>16</v>
      </c>
      <c r="G5">
        <v>0</v>
      </c>
      <c r="H5">
        <v>8</v>
      </c>
      <c r="I5" s="7">
        <f>IFERROR((F5/E5)*100,0)</f>
        <v>66.666666666666657</v>
      </c>
      <c r="J5" s="10">
        <f>IFERROR(C5/E5,0)</f>
        <v>1.2124999999999999</v>
      </c>
      <c r="K5" s="10">
        <f>IFERROR(D5/E5,0)</f>
        <v>0.24250000000000005</v>
      </c>
      <c r="L5" s="10" t="str">
        <f>LEFT(B5,3)</f>
        <v>LEG</v>
      </c>
      <c r="N5">
        <f t="shared" si="1"/>
        <v>29.099999999999998</v>
      </c>
      <c r="O5">
        <f t="shared" si="2"/>
        <v>5.8200000000000012</v>
      </c>
      <c r="P5">
        <f t="shared" si="3"/>
        <v>24</v>
      </c>
      <c r="Q5">
        <f t="shared" si="4"/>
        <v>16</v>
      </c>
      <c r="R5">
        <f t="shared" si="5"/>
        <v>0</v>
      </c>
      <c r="S5">
        <f t="shared" si="6"/>
        <v>8</v>
      </c>
    </row>
    <row r="6" spans="1:26" x14ac:dyDescent="0.25">
      <c r="A6">
        <v>5</v>
      </c>
      <c r="B6" s="8" t="s">
        <v>131</v>
      </c>
      <c r="C6">
        <v>17.5</v>
      </c>
      <c r="D6">
        <v>3.5000000000000004</v>
      </c>
      <c r="E6">
        <v>8</v>
      </c>
      <c r="F6">
        <v>6</v>
      </c>
      <c r="G6">
        <v>0</v>
      </c>
      <c r="H6">
        <v>2</v>
      </c>
      <c r="I6" s="7">
        <f>IFERROR((F6/E6)*100,0)</f>
        <v>75</v>
      </c>
      <c r="J6" s="10">
        <f>IFERROR(C6/E6,0)</f>
        <v>2.1875</v>
      </c>
      <c r="K6" s="10">
        <f>IFERROR(D6/E6,0)</f>
        <v>0.43750000000000006</v>
      </c>
      <c r="L6" s="10" t="str">
        <f>LEFT(B6,3)</f>
        <v>UEG</v>
      </c>
      <c r="N6">
        <f t="shared" si="1"/>
        <v>17.5</v>
      </c>
      <c r="O6">
        <f t="shared" si="2"/>
        <v>3.5000000000000004</v>
      </c>
      <c r="P6">
        <f t="shared" si="3"/>
        <v>8</v>
      </c>
      <c r="Q6">
        <f t="shared" si="4"/>
        <v>6</v>
      </c>
      <c r="R6">
        <f t="shared" si="5"/>
        <v>0</v>
      </c>
      <c r="S6">
        <f t="shared" si="6"/>
        <v>2</v>
      </c>
    </row>
    <row r="7" spans="1:26" x14ac:dyDescent="0.25">
      <c r="A7">
        <v>6</v>
      </c>
      <c r="B7" t="s">
        <v>58</v>
      </c>
      <c r="C7">
        <v>16</v>
      </c>
      <c r="D7">
        <v>3.1999999999999993</v>
      </c>
      <c r="E7">
        <v>13</v>
      </c>
      <c r="F7">
        <v>8</v>
      </c>
      <c r="G7">
        <v>1</v>
      </c>
      <c r="H7">
        <v>4</v>
      </c>
      <c r="I7" s="7">
        <f>IFERROR((F7/E7)*100,0)</f>
        <v>61.53846153846154</v>
      </c>
      <c r="J7" s="10">
        <f>IFERROR(C7/E7,0)</f>
        <v>1.2307692307692308</v>
      </c>
      <c r="K7" s="10">
        <f>IFERROR(D7/E7,0)</f>
        <v>0.24615384615384611</v>
      </c>
      <c r="L7" s="10" t="str">
        <f>LEFT(B7,3)</f>
        <v>WEG</v>
      </c>
      <c r="N7">
        <f t="shared" si="1"/>
        <v>16</v>
      </c>
      <c r="O7">
        <f t="shared" si="2"/>
        <v>3.1999999999999993</v>
      </c>
      <c r="P7">
        <f t="shared" si="3"/>
        <v>13</v>
      </c>
      <c r="Q7">
        <f t="shared" si="4"/>
        <v>8</v>
      </c>
      <c r="R7">
        <f t="shared" si="5"/>
        <v>1</v>
      </c>
      <c r="S7">
        <f t="shared" si="6"/>
        <v>4</v>
      </c>
    </row>
    <row r="8" spans="1:26" x14ac:dyDescent="0.25">
      <c r="A8">
        <v>7</v>
      </c>
      <c r="B8" t="s">
        <v>85</v>
      </c>
      <c r="C8">
        <v>16</v>
      </c>
      <c r="D8">
        <v>3.1999999999999993</v>
      </c>
      <c r="E8">
        <v>19</v>
      </c>
      <c r="F8">
        <v>9</v>
      </c>
      <c r="G8">
        <v>2</v>
      </c>
      <c r="H8">
        <v>8</v>
      </c>
      <c r="I8" s="7">
        <f>IFERROR((F8/E8)*100,0)</f>
        <v>47.368421052631575</v>
      </c>
      <c r="J8" s="10">
        <f>IFERROR(C8/E8,0)</f>
        <v>0.84210526315789469</v>
      </c>
      <c r="K8" s="10">
        <f>IFERROR(D8/E8,0)</f>
        <v>0.16842105263157892</v>
      </c>
      <c r="L8" s="10" t="str">
        <f>LEFT(B8,3)</f>
        <v>UEG</v>
      </c>
      <c r="N8">
        <f t="shared" si="1"/>
        <v>16</v>
      </c>
      <c r="O8">
        <f t="shared" si="2"/>
        <v>3.1999999999999993</v>
      </c>
      <c r="P8">
        <f t="shared" si="3"/>
        <v>19</v>
      </c>
      <c r="Q8">
        <f t="shared" si="4"/>
        <v>9</v>
      </c>
      <c r="R8">
        <f t="shared" si="5"/>
        <v>2</v>
      </c>
      <c r="S8">
        <f t="shared" si="6"/>
        <v>8</v>
      </c>
    </row>
    <row r="9" spans="1:26" x14ac:dyDescent="0.25">
      <c r="A9">
        <v>8</v>
      </c>
      <c r="B9" t="s">
        <v>61</v>
      </c>
      <c r="C9">
        <v>15.7</v>
      </c>
      <c r="D9">
        <v>3.1400000000000006</v>
      </c>
      <c r="E9">
        <v>10</v>
      </c>
      <c r="F9">
        <v>5</v>
      </c>
      <c r="G9">
        <v>0</v>
      </c>
      <c r="H9">
        <v>5</v>
      </c>
      <c r="I9" s="7">
        <f>IFERROR((F9/E9)*100,0)</f>
        <v>50</v>
      </c>
      <c r="J9" s="10">
        <f>IFERROR(C9/E9,0)</f>
        <v>1.5699999999999998</v>
      </c>
      <c r="K9" s="10">
        <f>IFERROR(D9/E9,0)</f>
        <v>0.31400000000000006</v>
      </c>
      <c r="L9" s="10" t="str">
        <f>LEFT(B9,3)</f>
        <v>PEG</v>
      </c>
      <c r="N9">
        <f t="shared" si="1"/>
        <v>15.7</v>
      </c>
      <c r="O9">
        <f t="shared" si="2"/>
        <v>3.1400000000000006</v>
      </c>
      <c r="P9">
        <f t="shared" si="3"/>
        <v>10</v>
      </c>
      <c r="Q9">
        <f t="shared" si="4"/>
        <v>5</v>
      </c>
      <c r="R9">
        <f t="shared" si="5"/>
        <v>0</v>
      </c>
      <c r="S9">
        <f t="shared" si="6"/>
        <v>5</v>
      </c>
    </row>
    <row r="10" spans="1:26" x14ac:dyDescent="0.25">
      <c r="A10">
        <v>9</v>
      </c>
      <c r="B10" t="s">
        <v>66</v>
      </c>
      <c r="C10">
        <v>13.900000000000002</v>
      </c>
      <c r="D10">
        <v>2.7800000000000002</v>
      </c>
      <c r="E10">
        <v>24</v>
      </c>
      <c r="F10">
        <v>12</v>
      </c>
      <c r="G10">
        <v>1</v>
      </c>
      <c r="H10">
        <v>11</v>
      </c>
      <c r="I10" s="7">
        <f>IFERROR((F10/E10)*100,0)</f>
        <v>50</v>
      </c>
      <c r="J10" s="10">
        <f>IFERROR(C10/E10,0)</f>
        <v>0.57916666666666672</v>
      </c>
      <c r="K10" s="10">
        <f>IFERROR(D10/E10,0)</f>
        <v>0.11583333333333334</v>
      </c>
      <c r="L10" s="10" t="str">
        <f>LEFT(B10,3)</f>
        <v>LEG</v>
      </c>
      <c r="N10">
        <f t="shared" si="1"/>
        <v>13.900000000000002</v>
      </c>
      <c r="O10">
        <f t="shared" si="2"/>
        <v>2.7800000000000002</v>
      </c>
      <c r="P10">
        <f t="shared" si="3"/>
        <v>24</v>
      </c>
      <c r="Q10">
        <f t="shared" si="4"/>
        <v>12</v>
      </c>
      <c r="R10">
        <f t="shared" si="5"/>
        <v>1</v>
      </c>
      <c r="S10">
        <f t="shared" si="6"/>
        <v>11</v>
      </c>
    </row>
    <row r="11" spans="1:26" x14ac:dyDescent="0.25">
      <c r="A11">
        <v>11</v>
      </c>
      <c r="B11" s="8" t="s">
        <v>68</v>
      </c>
      <c r="C11">
        <v>13.3</v>
      </c>
      <c r="D11">
        <v>2.66</v>
      </c>
      <c r="E11">
        <v>6</v>
      </c>
      <c r="F11">
        <v>5</v>
      </c>
      <c r="G11">
        <v>0</v>
      </c>
      <c r="H11">
        <v>1</v>
      </c>
      <c r="I11" s="7">
        <f>IFERROR((F11/E11)*100,0)</f>
        <v>83.333333333333343</v>
      </c>
      <c r="J11" s="10">
        <f>IFERROR(C11/E11,0)</f>
        <v>2.2166666666666668</v>
      </c>
      <c r="K11" s="10">
        <f>IFERROR(D11/E11,0)</f>
        <v>0.44333333333333336</v>
      </c>
      <c r="L11" s="10" t="str">
        <f>LEFT(B11,3)</f>
        <v>LEG</v>
      </c>
      <c r="N11">
        <f t="shared" si="1"/>
        <v>13.3</v>
      </c>
      <c r="O11">
        <f t="shared" si="2"/>
        <v>2.66</v>
      </c>
      <c r="P11">
        <f t="shared" si="3"/>
        <v>6</v>
      </c>
      <c r="Q11">
        <f t="shared" si="4"/>
        <v>5</v>
      </c>
      <c r="R11">
        <f t="shared" si="5"/>
        <v>0</v>
      </c>
      <c r="S11">
        <f t="shared" si="6"/>
        <v>1</v>
      </c>
    </row>
    <row r="12" spans="1:26" x14ac:dyDescent="0.25">
      <c r="A12">
        <v>13</v>
      </c>
      <c r="B12" t="s">
        <v>91</v>
      </c>
      <c r="C12">
        <v>12.899999999999997</v>
      </c>
      <c r="D12">
        <v>2.5799999999999996</v>
      </c>
      <c r="E12">
        <v>10</v>
      </c>
      <c r="F12">
        <v>7</v>
      </c>
      <c r="G12">
        <v>0</v>
      </c>
      <c r="H12">
        <v>3</v>
      </c>
      <c r="I12" s="7">
        <f>IFERROR((F12/E12)*100,0)</f>
        <v>70</v>
      </c>
      <c r="J12" s="10">
        <f>IFERROR(C12/E12,0)</f>
        <v>1.2899999999999996</v>
      </c>
      <c r="K12" s="10">
        <f>IFERROR(D12/E12,0)</f>
        <v>0.25799999999999995</v>
      </c>
      <c r="L12" s="10" t="str">
        <f>LEFT(B12,3)</f>
        <v>SEG</v>
      </c>
      <c r="N12">
        <f t="shared" si="1"/>
        <v>12.899999999999997</v>
      </c>
      <c r="O12">
        <f t="shared" si="2"/>
        <v>2.5799999999999996</v>
      </c>
      <c r="P12">
        <f t="shared" si="3"/>
        <v>10</v>
      </c>
      <c r="Q12">
        <f t="shared" si="4"/>
        <v>7</v>
      </c>
      <c r="R12">
        <f t="shared" si="5"/>
        <v>0</v>
      </c>
      <c r="S12">
        <f t="shared" si="6"/>
        <v>3</v>
      </c>
    </row>
    <row r="13" spans="1:26" x14ac:dyDescent="0.25">
      <c r="A13">
        <v>12</v>
      </c>
      <c r="B13" t="s">
        <v>97</v>
      </c>
      <c r="C13">
        <v>9.9999999999999982</v>
      </c>
      <c r="D13">
        <v>2</v>
      </c>
      <c r="E13">
        <v>5</v>
      </c>
      <c r="F13">
        <v>3</v>
      </c>
      <c r="G13">
        <v>0</v>
      </c>
      <c r="H13">
        <v>2</v>
      </c>
      <c r="I13" s="7">
        <f>IFERROR((F13/E13)*100,0)</f>
        <v>60</v>
      </c>
      <c r="J13" s="10">
        <f>IFERROR(C13/E13,0)</f>
        <v>1.9999999999999996</v>
      </c>
      <c r="K13" s="10">
        <f>IFERROR(D13/E13,0)</f>
        <v>0.4</v>
      </c>
      <c r="L13" s="10" t="str">
        <f>LEFT(B13,3)</f>
        <v>LEG</v>
      </c>
      <c r="N13">
        <f t="shared" si="1"/>
        <v>9.9999999999999982</v>
      </c>
      <c r="O13">
        <f t="shared" si="2"/>
        <v>2</v>
      </c>
      <c r="P13">
        <f t="shared" si="3"/>
        <v>5</v>
      </c>
      <c r="Q13">
        <f t="shared" si="4"/>
        <v>3</v>
      </c>
      <c r="R13">
        <f t="shared" si="5"/>
        <v>0</v>
      </c>
      <c r="S13">
        <f t="shared" si="6"/>
        <v>2</v>
      </c>
    </row>
    <row r="14" spans="1:26" x14ac:dyDescent="0.25">
      <c r="A14">
        <v>10</v>
      </c>
      <c r="B14" t="s">
        <v>55</v>
      </c>
      <c r="C14">
        <v>9.6000000000000014</v>
      </c>
      <c r="D14">
        <v>1.920000000000001</v>
      </c>
      <c r="E14">
        <v>22</v>
      </c>
      <c r="F14">
        <v>11</v>
      </c>
      <c r="G14">
        <v>0</v>
      </c>
      <c r="H14">
        <v>11</v>
      </c>
      <c r="I14" s="7">
        <f>IFERROR((F14/E14)*100,0)</f>
        <v>50</v>
      </c>
      <c r="J14" s="10">
        <f>IFERROR(C14/E14,0)</f>
        <v>0.43636363636363645</v>
      </c>
      <c r="K14" s="10">
        <f>IFERROR(D14/E14,0)</f>
        <v>8.7272727272727321E-2</v>
      </c>
      <c r="L14" s="10" t="str">
        <f>LEFT(B14,3)</f>
        <v>LEG</v>
      </c>
      <c r="N14">
        <f t="shared" si="1"/>
        <v>9.6000000000000014</v>
      </c>
      <c r="O14">
        <f t="shared" si="2"/>
        <v>1.920000000000001</v>
      </c>
      <c r="P14">
        <f t="shared" si="3"/>
        <v>22</v>
      </c>
      <c r="Q14">
        <f t="shared" si="4"/>
        <v>11</v>
      </c>
      <c r="R14">
        <f t="shared" si="5"/>
        <v>0</v>
      </c>
      <c r="S14">
        <f t="shared" si="6"/>
        <v>11</v>
      </c>
    </row>
    <row r="15" spans="1:26" x14ac:dyDescent="0.25">
      <c r="A15">
        <v>14</v>
      </c>
      <c r="B15" s="8" t="s">
        <v>94</v>
      </c>
      <c r="C15">
        <v>9.1</v>
      </c>
      <c r="D15">
        <v>1.8199999999999998</v>
      </c>
      <c r="E15">
        <v>7</v>
      </c>
      <c r="F15">
        <v>4</v>
      </c>
      <c r="G15">
        <v>0</v>
      </c>
      <c r="H15">
        <v>3</v>
      </c>
      <c r="I15" s="7">
        <f>IFERROR((F15/E15)*100,0)</f>
        <v>57.142857142857139</v>
      </c>
      <c r="J15" s="10">
        <f>IFERROR(C15/E15,0)</f>
        <v>1.3</v>
      </c>
      <c r="K15" s="10">
        <f>IFERROR(D15/E15,0)</f>
        <v>0.25999999999999995</v>
      </c>
      <c r="L15" s="10" t="str">
        <f>LEFT(B15,3)</f>
        <v>PEG</v>
      </c>
      <c r="N15">
        <f t="shared" si="1"/>
        <v>9.1</v>
      </c>
      <c r="O15">
        <f t="shared" si="2"/>
        <v>1.8199999999999998</v>
      </c>
      <c r="P15">
        <f t="shared" si="3"/>
        <v>7</v>
      </c>
      <c r="Q15">
        <f t="shared" si="4"/>
        <v>4</v>
      </c>
      <c r="R15">
        <f t="shared" si="5"/>
        <v>0</v>
      </c>
      <c r="S15">
        <f t="shared" si="6"/>
        <v>3</v>
      </c>
    </row>
    <row r="16" spans="1:26" x14ac:dyDescent="0.25">
      <c r="A16">
        <v>15</v>
      </c>
      <c r="B16" t="s">
        <v>86</v>
      </c>
      <c r="C16">
        <v>9</v>
      </c>
      <c r="D16">
        <v>1.7999999999999998</v>
      </c>
      <c r="E16">
        <v>6</v>
      </c>
      <c r="F16">
        <v>3</v>
      </c>
      <c r="G16">
        <v>0</v>
      </c>
      <c r="H16">
        <v>3</v>
      </c>
      <c r="I16" s="7">
        <f>IFERROR((F16/E16)*100,0)</f>
        <v>50</v>
      </c>
      <c r="J16" s="10">
        <f>IFERROR(C16/E16,0)</f>
        <v>1.5</v>
      </c>
      <c r="K16" s="10">
        <f>IFERROR(D16/E16,0)</f>
        <v>0.3</v>
      </c>
      <c r="L16" s="10" t="str">
        <f>LEFT(B16,3)</f>
        <v>UEG</v>
      </c>
      <c r="N16">
        <f t="shared" si="1"/>
        <v>9</v>
      </c>
      <c r="O16">
        <f t="shared" si="2"/>
        <v>1.7999999999999998</v>
      </c>
      <c r="P16">
        <f t="shared" si="3"/>
        <v>6</v>
      </c>
      <c r="Q16">
        <f t="shared" si="4"/>
        <v>3</v>
      </c>
      <c r="R16">
        <f t="shared" si="5"/>
        <v>0</v>
      </c>
      <c r="S16">
        <f t="shared" si="6"/>
        <v>3</v>
      </c>
    </row>
    <row r="17" spans="1:19" x14ac:dyDescent="0.25">
      <c r="A17">
        <v>17</v>
      </c>
      <c r="B17" t="s">
        <v>136</v>
      </c>
      <c r="C17">
        <v>7.3000000000000007</v>
      </c>
      <c r="D17">
        <v>1.46</v>
      </c>
      <c r="E17">
        <v>6</v>
      </c>
      <c r="F17">
        <v>3</v>
      </c>
      <c r="G17">
        <v>0</v>
      </c>
      <c r="H17">
        <v>3</v>
      </c>
      <c r="I17" s="7">
        <f>IFERROR((F17/E17)*100,0)</f>
        <v>50</v>
      </c>
      <c r="J17" s="10">
        <f>IFERROR(C17/E17,0)</f>
        <v>1.2166666666666668</v>
      </c>
      <c r="K17" s="10">
        <f>IFERROR(D17/E17,0)</f>
        <v>0.24333333333333332</v>
      </c>
      <c r="L17" s="10" t="str">
        <f>LEFT(B17,3)</f>
        <v>VEG</v>
      </c>
      <c r="N17">
        <f t="shared" si="1"/>
        <v>7.3000000000000007</v>
      </c>
      <c r="O17">
        <f t="shared" si="2"/>
        <v>1.46</v>
      </c>
      <c r="P17">
        <f t="shared" si="3"/>
        <v>6</v>
      </c>
      <c r="Q17">
        <f t="shared" si="4"/>
        <v>3</v>
      </c>
      <c r="R17">
        <f t="shared" si="5"/>
        <v>0</v>
      </c>
      <c r="S17">
        <f t="shared" si="6"/>
        <v>3</v>
      </c>
    </row>
    <row r="18" spans="1:19" x14ac:dyDescent="0.25">
      <c r="A18">
        <v>16</v>
      </c>
      <c r="B18" s="8" t="s">
        <v>134</v>
      </c>
      <c r="C18">
        <v>7.0000000000000009</v>
      </c>
      <c r="D18">
        <v>1.4</v>
      </c>
      <c r="E18">
        <v>5</v>
      </c>
      <c r="F18">
        <v>3</v>
      </c>
      <c r="G18">
        <v>0</v>
      </c>
      <c r="H18">
        <v>2</v>
      </c>
      <c r="I18" s="7">
        <f>IFERROR((F18/E18)*100,0)</f>
        <v>60</v>
      </c>
      <c r="J18" s="10">
        <f>IFERROR(C18/E18,0)</f>
        <v>1.4000000000000001</v>
      </c>
      <c r="K18" s="10">
        <f>IFERROR(D18/E18,0)</f>
        <v>0.27999999999999997</v>
      </c>
      <c r="L18" s="10" t="str">
        <f>LEFT(B18,3)</f>
        <v>UEG</v>
      </c>
      <c r="N18">
        <f t="shared" si="1"/>
        <v>7.0000000000000009</v>
      </c>
      <c r="O18">
        <f t="shared" ref="O18:O53" si="7">D18+V18</f>
        <v>1.4</v>
      </c>
      <c r="P18">
        <f t="shared" ref="P18:P53" si="8">E18+W18</f>
        <v>5</v>
      </c>
      <c r="Q18">
        <f t="shared" ref="Q18:Q53" si="9">F18+X18</f>
        <v>3</v>
      </c>
      <c r="R18">
        <f t="shared" ref="R18:R47" si="10">G18+Y18</f>
        <v>0</v>
      </c>
      <c r="S18">
        <f t="shared" ref="S18:S47" si="11">H18+Z18</f>
        <v>2</v>
      </c>
    </row>
    <row r="19" spans="1:19" x14ac:dyDescent="0.25">
      <c r="A19">
        <v>19</v>
      </c>
      <c r="B19" t="s">
        <v>60</v>
      </c>
      <c r="C19">
        <v>6.4999999999999929</v>
      </c>
      <c r="D19">
        <v>1.2999999999999989</v>
      </c>
      <c r="E19">
        <v>26</v>
      </c>
      <c r="F19">
        <v>15</v>
      </c>
      <c r="G19">
        <v>0</v>
      </c>
      <c r="H19">
        <v>11</v>
      </c>
      <c r="I19" s="7">
        <f>IFERROR((F19/E19)*100,0)</f>
        <v>57.692307692307686</v>
      </c>
      <c r="J19" s="10">
        <f>IFERROR(C19/E19,0)</f>
        <v>0.24999999999999972</v>
      </c>
      <c r="K19" s="10">
        <f>IFERROR(D19/E19,0)</f>
        <v>4.9999999999999961E-2</v>
      </c>
      <c r="L19" s="10" t="str">
        <f>LEFT(B19,3)</f>
        <v>LEG</v>
      </c>
      <c r="N19">
        <f t="shared" si="1"/>
        <v>6.4999999999999929</v>
      </c>
      <c r="O19">
        <f t="shared" si="7"/>
        <v>1.2999999999999989</v>
      </c>
      <c r="P19">
        <f t="shared" si="8"/>
        <v>26</v>
      </c>
      <c r="Q19">
        <f t="shared" si="9"/>
        <v>15</v>
      </c>
      <c r="R19">
        <f t="shared" si="10"/>
        <v>0</v>
      </c>
      <c r="S19">
        <f t="shared" si="11"/>
        <v>11</v>
      </c>
    </row>
    <row r="20" spans="1:19" x14ac:dyDescent="0.25">
      <c r="A20">
        <v>18</v>
      </c>
      <c r="B20" s="8" t="s">
        <v>140</v>
      </c>
      <c r="C20">
        <v>5.9</v>
      </c>
      <c r="D20">
        <v>1.1800000000000002</v>
      </c>
      <c r="E20">
        <v>2</v>
      </c>
      <c r="F20">
        <v>2</v>
      </c>
      <c r="G20">
        <v>0</v>
      </c>
      <c r="H20">
        <v>0</v>
      </c>
      <c r="I20" s="7">
        <f>IFERROR((F20/E20)*100,0)</f>
        <v>100</v>
      </c>
      <c r="J20" s="10">
        <f>IFERROR(C20/E20,0)</f>
        <v>2.95</v>
      </c>
      <c r="K20" s="10">
        <f>IFERROR(D20/E20,0)</f>
        <v>0.59000000000000008</v>
      </c>
      <c r="L20" s="10" t="str">
        <f>LEFT(B20,3)</f>
        <v>PEG</v>
      </c>
      <c r="N20">
        <f t="shared" si="1"/>
        <v>5.9</v>
      </c>
      <c r="O20">
        <f t="shared" si="7"/>
        <v>1.1800000000000002</v>
      </c>
      <c r="P20">
        <f t="shared" si="8"/>
        <v>2</v>
      </c>
      <c r="Q20">
        <f t="shared" si="9"/>
        <v>2</v>
      </c>
      <c r="R20">
        <f t="shared" si="10"/>
        <v>0</v>
      </c>
      <c r="S20">
        <f t="shared" si="11"/>
        <v>0</v>
      </c>
    </row>
    <row r="21" spans="1:19" x14ac:dyDescent="0.25">
      <c r="A21">
        <v>20</v>
      </c>
      <c r="B21" s="8" t="s">
        <v>132</v>
      </c>
      <c r="C21">
        <v>5.0000000000000018</v>
      </c>
      <c r="D21">
        <v>1.0000000000000007</v>
      </c>
      <c r="E21">
        <v>9</v>
      </c>
      <c r="F21">
        <v>5</v>
      </c>
      <c r="G21">
        <v>0</v>
      </c>
      <c r="H21">
        <v>4</v>
      </c>
      <c r="I21" s="7">
        <f>IFERROR((F21/E21)*100,0)</f>
        <v>55.555555555555557</v>
      </c>
      <c r="J21" s="10">
        <f>IFERROR(C21/E21,0)</f>
        <v>0.5555555555555558</v>
      </c>
      <c r="K21" s="10">
        <f>IFERROR(D21/E21,0)</f>
        <v>0.11111111111111119</v>
      </c>
      <c r="L21" s="10" t="str">
        <f>LEFT(B21,3)</f>
        <v>UEG</v>
      </c>
      <c r="N21">
        <f t="shared" si="1"/>
        <v>5.0000000000000018</v>
      </c>
      <c r="O21">
        <f t="shared" si="7"/>
        <v>1.0000000000000007</v>
      </c>
      <c r="P21">
        <f t="shared" si="8"/>
        <v>9</v>
      </c>
      <c r="Q21">
        <f t="shared" si="9"/>
        <v>5</v>
      </c>
      <c r="R21">
        <f t="shared" si="10"/>
        <v>0</v>
      </c>
      <c r="S21">
        <f t="shared" si="11"/>
        <v>4</v>
      </c>
    </row>
    <row r="22" spans="1:19" x14ac:dyDescent="0.25">
      <c r="A22">
        <v>21</v>
      </c>
      <c r="B22" t="s">
        <v>138</v>
      </c>
      <c r="C22">
        <v>2.4000000000000004</v>
      </c>
      <c r="D22">
        <v>0.48000000000000004</v>
      </c>
      <c r="E22">
        <v>3</v>
      </c>
      <c r="F22">
        <v>1</v>
      </c>
      <c r="G22">
        <v>0</v>
      </c>
      <c r="H22">
        <v>2</v>
      </c>
      <c r="I22" s="7">
        <f>IFERROR((F22/E22)*100,0)</f>
        <v>33.333333333333329</v>
      </c>
      <c r="J22" s="10">
        <f>IFERROR(C22/E22,0)</f>
        <v>0.80000000000000016</v>
      </c>
      <c r="K22" s="10">
        <f>IFERROR(D22/E22,0)</f>
        <v>0.16</v>
      </c>
      <c r="L22" s="10" t="str">
        <f>LEFT(B22,3)</f>
        <v>WEG</v>
      </c>
      <c r="N22">
        <f t="shared" si="1"/>
        <v>2.4000000000000004</v>
      </c>
      <c r="O22">
        <f t="shared" si="7"/>
        <v>0.48000000000000004</v>
      </c>
      <c r="P22">
        <f t="shared" si="8"/>
        <v>3</v>
      </c>
      <c r="Q22">
        <f t="shared" si="9"/>
        <v>1</v>
      </c>
      <c r="R22">
        <f t="shared" si="10"/>
        <v>0</v>
      </c>
      <c r="S22">
        <f t="shared" si="11"/>
        <v>2</v>
      </c>
    </row>
    <row r="23" spans="1:19" x14ac:dyDescent="0.25">
      <c r="A23">
        <v>22</v>
      </c>
      <c r="B23" t="s">
        <v>73</v>
      </c>
      <c r="C23">
        <v>1.9000000000000004</v>
      </c>
      <c r="D23">
        <v>0.37999999999999989</v>
      </c>
      <c r="E23">
        <v>5</v>
      </c>
      <c r="F23">
        <v>3</v>
      </c>
      <c r="G23">
        <v>0</v>
      </c>
      <c r="H23">
        <v>2</v>
      </c>
      <c r="I23" s="7">
        <f>IFERROR((F23/E23)*100,0)</f>
        <v>60</v>
      </c>
      <c r="J23" s="10">
        <f>IFERROR(C23/E23,0)</f>
        <v>0.38000000000000006</v>
      </c>
      <c r="K23" s="10">
        <f>IFERROR(D23/E23,0)</f>
        <v>7.5999999999999984E-2</v>
      </c>
      <c r="L23" s="10" t="str">
        <f>LEFT(B23,3)</f>
        <v>SEG</v>
      </c>
      <c r="N23">
        <f t="shared" si="1"/>
        <v>1.9000000000000004</v>
      </c>
      <c r="O23">
        <f t="shared" si="7"/>
        <v>0.37999999999999989</v>
      </c>
      <c r="P23">
        <f t="shared" si="8"/>
        <v>5</v>
      </c>
      <c r="Q23">
        <f t="shared" si="9"/>
        <v>3</v>
      </c>
      <c r="R23">
        <f t="shared" si="10"/>
        <v>0</v>
      </c>
      <c r="S23">
        <f t="shared" si="11"/>
        <v>2</v>
      </c>
    </row>
    <row r="24" spans="1:19" x14ac:dyDescent="0.25">
      <c r="A24">
        <v>23</v>
      </c>
      <c r="B24" t="s">
        <v>63</v>
      </c>
      <c r="C24">
        <v>1.1999999999999993</v>
      </c>
      <c r="D24">
        <v>0.23999999999999988</v>
      </c>
      <c r="E24">
        <v>8</v>
      </c>
      <c r="F24">
        <v>5</v>
      </c>
      <c r="G24">
        <v>1</v>
      </c>
      <c r="H24">
        <v>2</v>
      </c>
      <c r="I24" s="7">
        <f>IFERROR((F24/E24)*100,0)</f>
        <v>62.5</v>
      </c>
      <c r="J24" s="10">
        <f>IFERROR(C24/E24,0)</f>
        <v>0.14999999999999991</v>
      </c>
      <c r="K24" s="10">
        <f>IFERROR(D24/E24,0)</f>
        <v>2.9999999999999985E-2</v>
      </c>
      <c r="L24" s="10" t="str">
        <f>LEFT(B24,3)</f>
        <v>PEG</v>
      </c>
      <c r="N24">
        <f t="shared" si="1"/>
        <v>1.1999999999999993</v>
      </c>
      <c r="O24">
        <f t="shared" si="7"/>
        <v>0.23999999999999988</v>
      </c>
      <c r="P24">
        <f t="shared" si="8"/>
        <v>8</v>
      </c>
      <c r="Q24">
        <f t="shared" si="9"/>
        <v>5</v>
      </c>
      <c r="R24">
        <f t="shared" si="10"/>
        <v>1</v>
      </c>
      <c r="S24">
        <f t="shared" si="11"/>
        <v>2</v>
      </c>
    </row>
    <row r="25" spans="1:19" x14ac:dyDescent="0.25">
      <c r="A25">
        <v>24</v>
      </c>
      <c r="B25" s="8" t="s">
        <v>74</v>
      </c>
      <c r="C25">
        <v>1</v>
      </c>
      <c r="D25">
        <v>0.2</v>
      </c>
      <c r="E25">
        <v>2</v>
      </c>
      <c r="F25">
        <v>1</v>
      </c>
      <c r="G25">
        <v>0</v>
      </c>
      <c r="H25">
        <v>1</v>
      </c>
      <c r="I25" s="7">
        <f>IFERROR((F25/E25)*100,0)</f>
        <v>50</v>
      </c>
      <c r="J25" s="10">
        <f>IFERROR(C25/E25,0)</f>
        <v>0.5</v>
      </c>
      <c r="K25" s="10">
        <f>IFERROR(D25/E25,0)</f>
        <v>0.1</v>
      </c>
      <c r="L25" s="10" t="str">
        <f>LEFT(B25,3)</f>
        <v>PEG</v>
      </c>
      <c r="N25">
        <f t="shared" si="1"/>
        <v>1</v>
      </c>
      <c r="O25">
        <f t="shared" si="7"/>
        <v>0.2</v>
      </c>
      <c r="P25">
        <f t="shared" si="8"/>
        <v>2</v>
      </c>
      <c r="Q25">
        <f t="shared" si="9"/>
        <v>1</v>
      </c>
      <c r="R25">
        <f t="shared" si="10"/>
        <v>0</v>
      </c>
      <c r="S25">
        <f t="shared" si="11"/>
        <v>1</v>
      </c>
    </row>
    <row r="26" spans="1:19" x14ac:dyDescent="0.25">
      <c r="A26">
        <v>25</v>
      </c>
      <c r="B26" s="8" t="s">
        <v>142</v>
      </c>
      <c r="C26">
        <v>0.9</v>
      </c>
      <c r="D26">
        <v>0.18</v>
      </c>
      <c r="E26">
        <v>1</v>
      </c>
      <c r="F26">
        <v>1</v>
      </c>
      <c r="G26">
        <v>0</v>
      </c>
      <c r="H26">
        <v>0</v>
      </c>
      <c r="I26" s="7">
        <f>IFERROR((F26/E26)*100,0)</f>
        <v>100</v>
      </c>
      <c r="J26" s="10">
        <f>IFERROR(C26/E26,0)</f>
        <v>0.9</v>
      </c>
      <c r="K26" s="10">
        <f>IFERROR(D26/E26,0)</f>
        <v>0.18</v>
      </c>
      <c r="L26" s="10" t="str">
        <f>LEFT(B26,3)</f>
        <v>PEG</v>
      </c>
      <c r="N26">
        <f t="shared" si="1"/>
        <v>0.9</v>
      </c>
      <c r="O26">
        <f t="shared" si="7"/>
        <v>0.18</v>
      </c>
      <c r="P26">
        <f t="shared" si="8"/>
        <v>1</v>
      </c>
      <c r="Q26">
        <f t="shared" si="9"/>
        <v>1</v>
      </c>
      <c r="R26">
        <f t="shared" si="10"/>
        <v>0</v>
      </c>
      <c r="S26">
        <f t="shared" si="11"/>
        <v>0</v>
      </c>
    </row>
    <row r="27" spans="1:19" x14ac:dyDescent="0.25">
      <c r="A27">
        <v>26</v>
      </c>
      <c r="B27" s="8" t="s">
        <v>144</v>
      </c>
      <c r="C27">
        <v>0.5</v>
      </c>
      <c r="D27">
        <v>0.1</v>
      </c>
      <c r="E27">
        <v>1</v>
      </c>
      <c r="F27">
        <v>1</v>
      </c>
      <c r="G27">
        <v>0</v>
      </c>
      <c r="H27">
        <v>0</v>
      </c>
      <c r="I27" s="7">
        <f>IFERROR((F27/E27)*100,0)</f>
        <v>100</v>
      </c>
      <c r="J27" s="10">
        <f>IFERROR(C27/E27,0)</f>
        <v>0.5</v>
      </c>
      <c r="K27" s="10">
        <f>IFERROR(D27/E27,0)</f>
        <v>0.1</v>
      </c>
      <c r="L27" s="10" t="str">
        <f>LEFT(B27,3)</f>
        <v>PEG</v>
      </c>
      <c r="N27">
        <f t="shared" si="1"/>
        <v>0.5</v>
      </c>
      <c r="O27">
        <f t="shared" si="7"/>
        <v>0.1</v>
      </c>
      <c r="P27">
        <f t="shared" si="8"/>
        <v>1</v>
      </c>
      <c r="Q27">
        <f t="shared" si="9"/>
        <v>1</v>
      </c>
      <c r="R27">
        <f t="shared" si="10"/>
        <v>0</v>
      </c>
      <c r="S27">
        <f t="shared" si="11"/>
        <v>0</v>
      </c>
    </row>
    <row r="28" spans="1:19" x14ac:dyDescent="0.25">
      <c r="A28">
        <v>29</v>
      </c>
      <c r="B28" s="8" t="s">
        <v>88</v>
      </c>
      <c r="C28">
        <v>0.40000000000000024</v>
      </c>
      <c r="D28">
        <v>8.0000000000000016E-2</v>
      </c>
      <c r="E28">
        <v>3</v>
      </c>
      <c r="F28">
        <v>1</v>
      </c>
      <c r="G28">
        <v>0</v>
      </c>
      <c r="H28">
        <v>2</v>
      </c>
      <c r="I28" s="7">
        <f>IFERROR((F28/E28)*100,0)</f>
        <v>33.333333333333329</v>
      </c>
      <c r="J28" s="10">
        <f>IFERROR(C28/E28,0)</f>
        <v>0.13333333333333341</v>
      </c>
      <c r="K28" s="10">
        <f>IFERROR(D28/E28,0)</f>
        <v>2.6666666666666672E-2</v>
      </c>
      <c r="L28" s="10" t="str">
        <f>LEFT(B28,3)</f>
        <v>UEG</v>
      </c>
      <c r="N28">
        <f t="shared" si="1"/>
        <v>0.40000000000000024</v>
      </c>
      <c r="O28">
        <f t="shared" si="7"/>
        <v>8.0000000000000016E-2</v>
      </c>
      <c r="P28">
        <f t="shared" si="8"/>
        <v>3</v>
      </c>
      <c r="Q28">
        <f t="shared" si="9"/>
        <v>1</v>
      </c>
      <c r="R28">
        <f t="shared" si="10"/>
        <v>0</v>
      </c>
      <c r="S28">
        <f t="shared" si="11"/>
        <v>2</v>
      </c>
    </row>
    <row r="29" spans="1:19" x14ac:dyDescent="0.25">
      <c r="A29">
        <v>27</v>
      </c>
      <c r="B29" t="s">
        <v>137</v>
      </c>
      <c r="C29">
        <v>0.39999999999999991</v>
      </c>
      <c r="D29">
        <v>8.0000000000000016E-2</v>
      </c>
      <c r="E29">
        <v>2</v>
      </c>
      <c r="F29">
        <v>1</v>
      </c>
      <c r="G29">
        <v>0</v>
      </c>
      <c r="H29">
        <v>1</v>
      </c>
      <c r="I29" s="7">
        <f>IFERROR((F29/E29)*100,0)</f>
        <v>50</v>
      </c>
      <c r="J29" s="10">
        <f>IFERROR(C29/E29,0)</f>
        <v>0.19999999999999996</v>
      </c>
      <c r="K29" s="10">
        <f>IFERROR(D29/E29,0)</f>
        <v>4.0000000000000008E-2</v>
      </c>
      <c r="L29" s="10" t="str">
        <f>LEFT(B29,3)</f>
        <v>UEG</v>
      </c>
      <c r="N29">
        <f t="shared" si="1"/>
        <v>0.39999999999999991</v>
      </c>
      <c r="O29">
        <f t="shared" si="7"/>
        <v>8.0000000000000016E-2</v>
      </c>
      <c r="P29">
        <f t="shared" si="8"/>
        <v>2</v>
      </c>
      <c r="Q29">
        <f t="shared" si="9"/>
        <v>1</v>
      </c>
      <c r="R29">
        <f t="shared" si="10"/>
        <v>0</v>
      </c>
      <c r="S29">
        <f t="shared" si="11"/>
        <v>1</v>
      </c>
    </row>
    <row r="30" spans="1:19" x14ac:dyDescent="0.25">
      <c r="A30">
        <v>28</v>
      </c>
      <c r="B30" t="s">
        <v>76</v>
      </c>
      <c r="C30">
        <v>-0.69999999999999929</v>
      </c>
      <c r="D30">
        <v>-0.13999999999999901</v>
      </c>
      <c r="E30">
        <v>22</v>
      </c>
      <c r="F30">
        <v>12</v>
      </c>
      <c r="G30">
        <v>1</v>
      </c>
      <c r="H30">
        <v>9</v>
      </c>
      <c r="I30" s="7">
        <f>IFERROR((F30/E30)*100,0)</f>
        <v>54.54545454545454</v>
      </c>
      <c r="J30" s="10">
        <f>IFERROR(C30/E30,0)</f>
        <v>-3.1818181818181787E-2</v>
      </c>
      <c r="K30" s="10">
        <f>IFERROR(D30/E30,0)</f>
        <v>-6.3636363636363187E-3</v>
      </c>
      <c r="L30" s="10" t="str">
        <f>LEFT(B30,3)</f>
        <v>PEG</v>
      </c>
      <c r="N30">
        <f t="shared" si="1"/>
        <v>-0.69999999999999929</v>
      </c>
      <c r="O30">
        <f t="shared" si="7"/>
        <v>-0.13999999999999901</v>
      </c>
      <c r="P30">
        <f t="shared" si="8"/>
        <v>22</v>
      </c>
      <c r="Q30">
        <f t="shared" si="9"/>
        <v>12</v>
      </c>
      <c r="R30">
        <f t="shared" si="10"/>
        <v>1</v>
      </c>
      <c r="S30">
        <f t="shared" si="11"/>
        <v>9</v>
      </c>
    </row>
    <row r="31" spans="1:19" x14ac:dyDescent="0.25">
      <c r="A31">
        <v>35</v>
      </c>
      <c r="B31" t="s">
        <v>81</v>
      </c>
      <c r="C31">
        <v>-0.70000000000000107</v>
      </c>
      <c r="D31">
        <v>-0.14000000000000012</v>
      </c>
      <c r="E31">
        <v>12</v>
      </c>
      <c r="F31">
        <v>9</v>
      </c>
      <c r="G31">
        <v>0</v>
      </c>
      <c r="H31">
        <v>3</v>
      </c>
      <c r="I31" s="7">
        <f>IFERROR((F31/E31)*100,0)</f>
        <v>75</v>
      </c>
      <c r="J31" s="10">
        <f>IFERROR(C31/E31,0)</f>
        <v>-5.8333333333333424E-2</v>
      </c>
      <c r="K31" s="10">
        <f>IFERROR(D31/E31,0)</f>
        <v>-1.1666666666666678E-2</v>
      </c>
      <c r="L31" s="10" t="str">
        <f>LEFT(B31,3)</f>
        <v>LEG</v>
      </c>
      <c r="N31">
        <f t="shared" si="1"/>
        <v>-0.70000000000000107</v>
      </c>
      <c r="O31">
        <f t="shared" si="7"/>
        <v>-0.14000000000000012</v>
      </c>
      <c r="P31">
        <f t="shared" si="8"/>
        <v>12</v>
      </c>
      <c r="Q31">
        <f t="shared" si="9"/>
        <v>9</v>
      </c>
      <c r="R31">
        <f t="shared" si="10"/>
        <v>0</v>
      </c>
      <c r="S31">
        <f t="shared" si="11"/>
        <v>3</v>
      </c>
    </row>
    <row r="32" spans="1:19" x14ac:dyDescent="0.25">
      <c r="A32">
        <v>36</v>
      </c>
      <c r="B32" s="8" t="s">
        <v>133</v>
      </c>
      <c r="C32">
        <v>-1</v>
      </c>
      <c r="D32">
        <v>-0.19999999999999973</v>
      </c>
      <c r="E32">
        <v>9</v>
      </c>
      <c r="F32">
        <v>5</v>
      </c>
      <c r="G32">
        <v>0</v>
      </c>
      <c r="H32">
        <v>4</v>
      </c>
      <c r="I32" s="7">
        <f>IFERROR((F32/E32)*100,0)</f>
        <v>55.555555555555557</v>
      </c>
      <c r="J32" s="10">
        <f>IFERROR(C32/E32,0)</f>
        <v>-0.1111111111111111</v>
      </c>
      <c r="K32" s="10">
        <f>IFERROR(D32/E32,0)</f>
        <v>-2.2222222222222192E-2</v>
      </c>
      <c r="L32" s="10" t="str">
        <f>LEFT(B32,3)</f>
        <v>UEG</v>
      </c>
      <c r="N32">
        <f t="shared" si="1"/>
        <v>-1</v>
      </c>
      <c r="O32">
        <f t="shared" si="7"/>
        <v>-0.19999999999999973</v>
      </c>
      <c r="P32">
        <f t="shared" si="8"/>
        <v>9</v>
      </c>
      <c r="Q32">
        <f t="shared" si="9"/>
        <v>5</v>
      </c>
      <c r="R32">
        <f t="shared" si="10"/>
        <v>0</v>
      </c>
      <c r="S32">
        <f t="shared" si="11"/>
        <v>4</v>
      </c>
    </row>
    <row r="33" spans="1:19" x14ac:dyDescent="0.25">
      <c r="A33">
        <v>37</v>
      </c>
      <c r="B33" s="8" t="s">
        <v>82</v>
      </c>
      <c r="C33">
        <v>-1.6</v>
      </c>
      <c r="D33">
        <v>-0.32</v>
      </c>
      <c r="E33">
        <v>1</v>
      </c>
      <c r="F33">
        <v>0</v>
      </c>
      <c r="G33">
        <v>0</v>
      </c>
      <c r="H33">
        <v>1</v>
      </c>
      <c r="I33" s="7">
        <f>IFERROR((F33/E33)*100,0)</f>
        <v>0</v>
      </c>
      <c r="J33" s="10">
        <f>IFERROR(C33/E33,0)</f>
        <v>-1.6</v>
      </c>
      <c r="K33" s="10">
        <f>IFERROR(D33/E33,0)</f>
        <v>-0.32</v>
      </c>
      <c r="L33" s="10" t="str">
        <f>LEFT(B33,3)</f>
        <v>LEG</v>
      </c>
      <c r="N33">
        <f t="shared" si="1"/>
        <v>-1.6</v>
      </c>
      <c r="O33">
        <f t="shared" si="7"/>
        <v>-0.32</v>
      </c>
      <c r="P33">
        <f t="shared" si="8"/>
        <v>1</v>
      </c>
      <c r="Q33">
        <f t="shared" si="9"/>
        <v>0</v>
      </c>
      <c r="R33">
        <f t="shared" si="10"/>
        <v>0</v>
      </c>
      <c r="S33">
        <f t="shared" si="11"/>
        <v>1</v>
      </c>
    </row>
    <row r="34" spans="1:19" x14ac:dyDescent="0.25">
      <c r="A34">
        <v>38</v>
      </c>
      <c r="B34" s="8" t="s">
        <v>89</v>
      </c>
      <c r="C34">
        <v>-1.9000000000000001</v>
      </c>
      <c r="D34">
        <v>-0.38</v>
      </c>
      <c r="E34">
        <v>2</v>
      </c>
      <c r="F34">
        <v>1</v>
      </c>
      <c r="G34">
        <v>0</v>
      </c>
      <c r="H34">
        <v>1</v>
      </c>
      <c r="I34" s="7">
        <f>IFERROR((F34/E34)*100,0)</f>
        <v>50</v>
      </c>
      <c r="J34" s="10">
        <f>IFERROR(C34/E34,0)</f>
        <v>-0.95000000000000007</v>
      </c>
      <c r="K34" s="10">
        <f>IFERROR(D34/E34,0)</f>
        <v>-0.19</v>
      </c>
      <c r="L34" s="10" t="str">
        <f>LEFT(B34,3)</f>
        <v>PEG</v>
      </c>
      <c r="N34">
        <f t="shared" si="1"/>
        <v>-1.9000000000000001</v>
      </c>
      <c r="O34">
        <f t="shared" si="7"/>
        <v>-0.38</v>
      </c>
      <c r="P34">
        <f t="shared" si="8"/>
        <v>2</v>
      </c>
      <c r="Q34">
        <f t="shared" si="9"/>
        <v>1</v>
      </c>
      <c r="R34">
        <f t="shared" si="10"/>
        <v>0</v>
      </c>
      <c r="S34">
        <f t="shared" si="11"/>
        <v>1</v>
      </c>
    </row>
    <row r="35" spans="1:19" x14ac:dyDescent="0.25">
      <c r="A35">
        <v>39</v>
      </c>
      <c r="B35" t="s">
        <v>69</v>
      </c>
      <c r="C35">
        <v>-2.9000000000000004</v>
      </c>
      <c r="D35">
        <v>-0.58000000000000007</v>
      </c>
      <c r="E35">
        <v>5</v>
      </c>
      <c r="F35">
        <v>3</v>
      </c>
      <c r="G35">
        <v>0</v>
      </c>
      <c r="H35">
        <v>2</v>
      </c>
      <c r="I35" s="7">
        <f>IFERROR((F35/E35)*100,0)</f>
        <v>60</v>
      </c>
      <c r="J35" s="10">
        <f>IFERROR(C35/E35,0)</f>
        <v>-0.58000000000000007</v>
      </c>
      <c r="K35" s="10">
        <f>IFERROR(D35/E35,0)</f>
        <v>-0.11600000000000002</v>
      </c>
      <c r="L35" s="10" t="str">
        <f>LEFT(B35,3)</f>
        <v>UEG</v>
      </c>
      <c r="N35">
        <f t="shared" si="1"/>
        <v>-2.9000000000000004</v>
      </c>
      <c r="O35">
        <f t="shared" si="7"/>
        <v>-0.58000000000000007</v>
      </c>
      <c r="P35">
        <f t="shared" si="8"/>
        <v>5</v>
      </c>
      <c r="Q35">
        <f t="shared" si="9"/>
        <v>3</v>
      </c>
      <c r="R35">
        <f t="shared" si="10"/>
        <v>0</v>
      </c>
      <c r="S35">
        <f t="shared" si="11"/>
        <v>2</v>
      </c>
    </row>
    <row r="36" spans="1:19" x14ac:dyDescent="0.25">
      <c r="A36">
        <v>30</v>
      </c>
      <c r="B36" t="s">
        <v>72</v>
      </c>
      <c r="C36">
        <v>-3.0999999999999983</v>
      </c>
      <c r="D36">
        <v>-0.61999999999999988</v>
      </c>
      <c r="E36">
        <v>13</v>
      </c>
      <c r="F36">
        <v>5</v>
      </c>
      <c r="G36">
        <v>0</v>
      </c>
      <c r="H36">
        <v>8</v>
      </c>
      <c r="I36" s="7">
        <f>IFERROR((F36/E36)*100,0)</f>
        <v>38.461538461538467</v>
      </c>
      <c r="J36" s="10">
        <f>IFERROR(C36/E36,0)</f>
        <v>-0.23846153846153834</v>
      </c>
      <c r="K36" s="10">
        <f>IFERROR(D36/E36,0)</f>
        <v>-4.7692307692307687E-2</v>
      </c>
      <c r="L36" s="10" t="str">
        <f>LEFT(B36,3)</f>
        <v>UEG</v>
      </c>
      <c r="N36">
        <f t="shared" si="1"/>
        <v>-3.0999999999999983</v>
      </c>
      <c r="O36">
        <f t="shared" si="7"/>
        <v>-0.61999999999999988</v>
      </c>
      <c r="P36">
        <f t="shared" si="8"/>
        <v>13</v>
      </c>
      <c r="Q36">
        <f t="shared" si="9"/>
        <v>5</v>
      </c>
      <c r="R36">
        <f t="shared" si="10"/>
        <v>0</v>
      </c>
      <c r="S36">
        <f t="shared" si="11"/>
        <v>8</v>
      </c>
    </row>
    <row r="37" spans="1:19" x14ac:dyDescent="0.25">
      <c r="A37">
        <v>31</v>
      </c>
      <c r="B37" t="s">
        <v>87</v>
      </c>
      <c r="C37">
        <v>-3.0999999999999996</v>
      </c>
      <c r="D37">
        <v>-0.61999999999999988</v>
      </c>
      <c r="E37">
        <v>4</v>
      </c>
      <c r="F37">
        <v>1</v>
      </c>
      <c r="G37">
        <v>0</v>
      </c>
      <c r="H37">
        <v>3</v>
      </c>
      <c r="I37" s="7">
        <f>IFERROR((F37/E37)*100,0)</f>
        <v>25</v>
      </c>
      <c r="J37" s="10">
        <f>IFERROR(C37/E37,0)</f>
        <v>-0.77499999999999991</v>
      </c>
      <c r="K37" s="10">
        <f>IFERROR(D37/E37,0)</f>
        <v>-0.15499999999999997</v>
      </c>
      <c r="L37" s="10" t="str">
        <f>LEFT(B37,3)</f>
        <v>UEG</v>
      </c>
      <c r="N37">
        <f t="shared" si="1"/>
        <v>-3.0999999999999996</v>
      </c>
      <c r="O37">
        <f t="shared" si="7"/>
        <v>-0.61999999999999988</v>
      </c>
      <c r="P37">
        <f t="shared" si="8"/>
        <v>4</v>
      </c>
      <c r="Q37">
        <f t="shared" si="9"/>
        <v>1</v>
      </c>
      <c r="R37">
        <f t="shared" si="10"/>
        <v>0</v>
      </c>
      <c r="S37">
        <f t="shared" si="11"/>
        <v>3</v>
      </c>
    </row>
    <row r="38" spans="1:19" x14ac:dyDescent="0.25">
      <c r="A38">
        <v>32</v>
      </c>
      <c r="B38" s="8" t="s">
        <v>143</v>
      </c>
      <c r="C38">
        <v>-4.3</v>
      </c>
      <c r="D38">
        <v>-0.86</v>
      </c>
      <c r="E38">
        <v>1</v>
      </c>
      <c r="F38">
        <v>0</v>
      </c>
      <c r="G38">
        <v>0</v>
      </c>
      <c r="H38">
        <v>1</v>
      </c>
      <c r="I38" s="7">
        <f>IFERROR((F38/E38)*100,0)</f>
        <v>0</v>
      </c>
      <c r="J38" s="10">
        <f>IFERROR(C38/E38,0)</f>
        <v>-4.3</v>
      </c>
      <c r="K38" s="10">
        <f>IFERROR(D38/E38,0)</f>
        <v>-0.86</v>
      </c>
      <c r="L38" s="10" t="str">
        <f>LEFT(B38,3)</f>
        <v>PEG</v>
      </c>
      <c r="N38">
        <f t="shared" si="1"/>
        <v>-4.3</v>
      </c>
      <c r="O38">
        <f t="shared" si="7"/>
        <v>-0.86</v>
      </c>
      <c r="P38">
        <f t="shared" si="8"/>
        <v>1</v>
      </c>
      <c r="Q38">
        <f t="shared" si="9"/>
        <v>0</v>
      </c>
      <c r="R38">
        <f t="shared" si="10"/>
        <v>0</v>
      </c>
      <c r="S38">
        <f t="shared" si="11"/>
        <v>1</v>
      </c>
    </row>
    <row r="39" spans="1:19" x14ac:dyDescent="0.25">
      <c r="A39">
        <v>33</v>
      </c>
      <c r="B39" s="8" t="s">
        <v>71</v>
      </c>
      <c r="C39">
        <v>-6</v>
      </c>
      <c r="D39">
        <v>-1.2</v>
      </c>
      <c r="E39">
        <v>1</v>
      </c>
      <c r="F39">
        <v>0</v>
      </c>
      <c r="G39">
        <v>0</v>
      </c>
      <c r="H39">
        <v>1</v>
      </c>
      <c r="I39" s="7">
        <f>IFERROR((F39/E39)*100,0)</f>
        <v>0</v>
      </c>
      <c r="J39" s="10">
        <f>IFERROR(C39/E39,0)</f>
        <v>-6</v>
      </c>
      <c r="K39" s="10">
        <f>IFERROR(D39/E39,0)</f>
        <v>-1.2</v>
      </c>
      <c r="L39" s="10" t="str">
        <f>LEFT(B39,3)</f>
        <v>LEG</v>
      </c>
      <c r="N39">
        <f t="shared" si="1"/>
        <v>-6</v>
      </c>
      <c r="O39">
        <f t="shared" si="7"/>
        <v>-1.2</v>
      </c>
      <c r="P39">
        <f t="shared" si="8"/>
        <v>1</v>
      </c>
      <c r="Q39">
        <f t="shared" si="9"/>
        <v>0</v>
      </c>
      <c r="R39">
        <f t="shared" si="10"/>
        <v>0</v>
      </c>
      <c r="S39">
        <f t="shared" si="11"/>
        <v>1</v>
      </c>
    </row>
    <row r="40" spans="1:19" x14ac:dyDescent="0.25">
      <c r="A40">
        <v>34</v>
      </c>
      <c r="B40" t="s">
        <v>90</v>
      </c>
      <c r="C40">
        <v>-6.2</v>
      </c>
      <c r="D40">
        <v>-1.24</v>
      </c>
      <c r="E40">
        <v>5</v>
      </c>
      <c r="F40">
        <v>3</v>
      </c>
      <c r="G40">
        <v>1</v>
      </c>
      <c r="H40">
        <v>1</v>
      </c>
      <c r="I40" s="7">
        <f>IFERROR((F40/E40)*100,0)</f>
        <v>60</v>
      </c>
      <c r="J40" s="10">
        <f>IFERROR(C40/E40,0)</f>
        <v>-1.24</v>
      </c>
      <c r="K40" s="10">
        <f>IFERROR(D40/E40,0)</f>
        <v>-0.248</v>
      </c>
      <c r="L40" s="10" t="str">
        <f>LEFT(B40,3)</f>
        <v>PEG</v>
      </c>
      <c r="N40">
        <f t="shared" si="1"/>
        <v>-6.2</v>
      </c>
      <c r="O40">
        <f t="shared" si="7"/>
        <v>-1.24</v>
      </c>
      <c r="P40">
        <f t="shared" si="8"/>
        <v>5</v>
      </c>
      <c r="Q40">
        <f t="shared" si="9"/>
        <v>3</v>
      </c>
      <c r="R40">
        <f t="shared" si="10"/>
        <v>1</v>
      </c>
      <c r="S40">
        <f t="shared" si="11"/>
        <v>1</v>
      </c>
    </row>
    <row r="41" spans="1:19" x14ac:dyDescent="0.25">
      <c r="A41">
        <v>40</v>
      </c>
      <c r="B41" t="s">
        <v>75</v>
      </c>
      <c r="C41">
        <v>-7.5</v>
      </c>
      <c r="D41">
        <v>-1.5</v>
      </c>
      <c r="E41">
        <v>5</v>
      </c>
      <c r="F41">
        <v>2</v>
      </c>
      <c r="G41">
        <v>0</v>
      </c>
      <c r="H41">
        <v>3</v>
      </c>
      <c r="I41" s="7">
        <f>IFERROR((F41/E41)*100,0)</f>
        <v>40</v>
      </c>
      <c r="J41" s="10">
        <f>IFERROR(C41/E41,0)</f>
        <v>-1.5</v>
      </c>
      <c r="K41" s="10">
        <f>IFERROR(D41/E41,0)</f>
        <v>-0.3</v>
      </c>
      <c r="L41" s="10" t="str">
        <f>LEFT(B41,3)</f>
        <v>PEG</v>
      </c>
      <c r="N41">
        <f t="shared" si="1"/>
        <v>-7.5</v>
      </c>
      <c r="O41">
        <f t="shared" si="7"/>
        <v>-1.5</v>
      </c>
      <c r="P41">
        <f t="shared" si="8"/>
        <v>5</v>
      </c>
      <c r="Q41">
        <f t="shared" si="9"/>
        <v>2</v>
      </c>
      <c r="R41">
        <f t="shared" si="10"/>
        <v>0</v>
      </c>
      <c r="S41">
        <f t="shared" si="11"/>
        <v>3</v>
      </c>
    </row>
    <row r="42" spans="1:19" x14ac:dyDescent="0.25">
      <c r="A42">
        <v>41</v>
      </c>
      <c r="B42" t="s">
        <v>98</v>
      </c>
      <c r="C42">
        <v>-7.5</v>
      </c>
      <c r="D42">
        <v>-1.5</v>
      </c>
      <c r="E42">
        <v>5</v>
      </c>
      <c r="F42">
        <v>1</v>
      </c>
      <c r="G42">
        <v>0</v>
      </c>
      <c r="H42">
        <v>4</v>
      </c>
      <c r="I42" s="7">
        <f>IFERROR((F42/E42)*100,0)</f>
        <v>20</v>
      </c>
      <c r="J42" s="10">
        <f>IFERROR(C42/E42,0)</f>
        <v>-1.5</v>
      </c>
      <c r="K42" s="10">
        <f>IFERROR(D42/E42,0)</f>
        <v>-0.3</v>
      </c>
      <c r="L42" s="10" t="str">
        <f>LEFT(B42,3)</f>
        <v>LEG</v>
      </c>
      <c r="N42">
        <f t="shared" si="1"/>
        <v>-7.5</v>
      </c>
      <c r="O42">
        <f t="shared" si="7"/>
        <v>-1.5</v>
      </c>
      <c r="P42">
        <f t="shared" si="8"/>
        <v>5</v>
      </c>
      <c r="Q42">
        <f t="shared" si="9"/>
        <v>1</v>
      </c>
      <c r="R42">
        <f t="shared" si="10"/>
        <v>0</v>
      </c>
      <c r="S42">
        <f t="shared" si="11"/>
        <v>4</v>
      </c>
    </row>
    <row r="43" spans="1:19" x14ac:dyDescent="0.25">
      <c r="A43">
        <v>42</v>
      </c>
      <c r="B43" s="8" t="s">
        <v>84</v>
      </c>
      <c r="C43">
        <v>-7.5000000000000009</v>
      </c>
      <c r="D43">
        <v>-1.5</v>
      </c>
      <c r="E43">
        <v>6</v>
      </c>
      <c r="F43">
        <v>3</v>
      </c>
      <c r="G43">
        <v>0</v>
      </c>
      <c r="H43">
        <v>3</v>
      </c>
      <c r="I43" s="7">
        <f>IFERROR((F43/E43)*100,0)</f>
        <v>50</v>
      </c>
      <c r="J43" s="10">
        <f>IFERROR(C43/E43,0)</f>
        <v>-1.2500000000000002</v>
      </c>
      <c r="K43" s="10">
        <f>IFERROR(D43/E43,0)</f>
        <v>-0.25</v>
      </c>
      <c r="L43" s="10" t="str">
        <f>LEFT(B43,3)</f>
        <v>WEG</v>
      </c>
      <c r="N43">
        <f t="shared" si="1"/>
        <v>-7.5000000000000009</v>
      </c>
      <c r="O43">
        <f t="shared" si="7"/>
        <v>-1.5</v>
      </c>
      <c r="P43">
        <f t="shared" si="8"/>
        <v>6</v>
      </c>
      <c r="Q43">
        <f t="shared" si="9"/>
        <v>3</v>
      </c>
      <c r="R43">
        <f t="shared" si="10"/>
        <v>0</v>
      </c>
      <c r="S43">
        <f t="shared" si="11"/>
        <v>3</v>
      </c>
    </row>
    <row r="44" spans="1:19" x14ac:dyDescent="0.25">
      <c r="A44">
        <v>43</v>
      </c>
      <c r="B44" t="s">
        <v>99</v>
      </c>
      <c r="C44">
        <v>-8.8999999999999986</v>
      </c>
      <c r="D44">
        <v>-1.7799999999999998</v>
      </c>
      <c r="E44">
        <v>8</v>
      </c>
      <c r="F44">
        <v>4</v>
      </c>
      <c r="G44">
        <v>0</v>
      </c>
      <c r="H44">
        <v>4</v>
      </c>
      <c r="I44" s="7">
        <f>IFERROR((F44/E44)*100,0)</f>
        <v>50</v>
      </c>
      <c r="J44" s="10">
        <f>IFERROR(C44/E44,0)</f>
        <v>-1.1124999999999998</v>
      </c>
      <c r="K44" s="10">
        <f>IFERROR(D44/E44,0)</f>
        <v>-0.22249999999999998</v>
      </c>
      <c r="L44" s="10" t="str">
        <f>LEFT(B44,3)</f>
        <v>LEG</v>
      </c>
      <c r="N44">
        <f t="shared" si="1"/>
        <v>-8.8999999999999986</v>
      </c>
      <c r="O44">
        <f t="shared" si="7"/>
        <v>-1.7799999999999998</v>
      </c>
      <c r="P44">
        <f t="shared" si="8"/>
        <v>8</v>
      </c>
      <c r="Q44">
        <f t="shared" si="9"/>
        <v>4</v>
      </c>
      <c r="R44">
        <f t="shared" si="10"/>
        <v>0</v>
      </c>
      <c r="S44">
        <f t="shared" si="11"/>
        <v>4</v>
      </c>
    </row>
    <row r="45" spans="1:19" x14ac:dyDescent="0.25">
      <c r="A45">
        <v>44</v>
      </c>
      <c r="B45" t="s">
        <v>93</v>
      </c>
      <c r="C45">
        <v>-9.1</v>
      </c>
      <c r="D45">
        <v>-1.82</v>
      </c>
      <c r="E45">
        <v>5</v>
      </c>
      <c r="F45">
        <v>1</v>
      </c>
      <c r="G45">
        <v>0</v>
      </c>
      <c r="H45">
        <v>4</v>
      </c>
      <c r="I45" s="7">
        <f>IFERROR((F45/E45)*100,0)</f>
        <v>20</v>
      </c>
      <c r="J45" s="10">
        <f>IFERROR(C45/E45,0)</f>
        <v>-1.8199999999999998</v>
      </c>
      <c r="K45" s="10">
        <f>IFERROR(D45/E45,0)</f>
        <v>-0.36399999999999999</v>
      </c>
      <c r="L45" s="10" t="str">
        <f>LEFT(B45,3)</f>
        <v>PEG</v>
      </c>
      <c r="N45">
        <f t="shared" si="1"/>
        <v>-9.1</v>
      </c>
      <c r="O45">
        <f t="shared" si="7"/>
        <v>-1.82</v>
      </c>
      <c r="P45">
        <f t="shared" si="8"/>
        <v>5</v>
      </c>
      <c r="Q45">
        <f t="shared" si="9"/>
        <v>1</v>
      </c>
      <c r="R45">
        <f t="shared" si="10"/>
        <v>0</v>
      </c>
      <c r="S45">
        <f t="shared" si="11"/>
        <v>4</v>
      </c>
    </row>
    <row r="46" spans="1:19" x14ac:dyDescent="0.25">
      <c r="A46">
        <v>45</v>
      </c>
      <c r="B46" t="s">
        <v>96</v>
      </c>
      <c r="C46">
        <v>-9.4000000000000021</v>
      </c>
      <c r="D46">
        <v>-1.879999999999999</v>
      </c>
      <c r="E46">
        <v>17</v>
      </c>
      <c r="F46">
        <v>8</v>
      </c>
      <c r="G46">
        <v>0</v>
      </c>
      <c r="H46">
        <v>9</v>
      </c>
      <c r="I46" s="7">
        <f>IFERROR((F46/E46)*100,0)</f>
        <v>47.058823529411761</v>
      </c>
      <c r="J46" s="10">
        <f>IFERROR(C46/E46,0)</f>
        <v>-0.55294117647058838</v>
      </c>
      <c r="K46" s="10">
        <f>IFERROR(D46/E46,0)</f>
        <v>-0.11058823529411758</v>
      </c>
      <c r="L46" s="10" t="str">
        <f>LEFT(B46,3)</f>
        <v>LEG</v>
      </c>
      <c r="N46">
        <f t="shared" si="1"/>
        <v>-9.4000000000000021</v>
      </c>
      <c r="O46">
        <f t="shared" si="7"/>
        <v>-1.879999999999999</v>
      </c>
      <c r="P46">
        <f t="shared" si="8"/>
        <v>17</v>
      </c>
      <c r="Q46">
        <f t="shared" si="9"/>
        <v>8</v>
      </c>
      <c r="R46">
        <f t="shared" si="10"/>
        <v>0</v>
      </c>
      <c r="S46">
        <f t="shared" si="11"/>
        <v>9</v>
      </c>
    </row>
    <row r="47" spans="1:19" x14ac:dyDescent="0.25">
      <c r="A47">
        <v>46</v>
      </c>
      <c r="B47" t="s">
        <v>67</v>
      </c>
      <c r="C47">
        <v>-9.6999999999999993</v>
      </c>
      <c r="D47">
        <v>-1.9400000000000002</v>
      </c>
      <c r="E47">
        <v>8</v>
      </c>
      <c r="F47">
        <v>3</v>
      </c>
      <c r="G47">
        <v>0</v>
      </c>
      <c r="H47">
        <v>5</v>
      </c>
      <c r="I47" s="7">
        <f>IFERROR((F47/E47)*100,0)</f>
        <v>37.5</v>
      </c>
      <c r="J47" s="10">
        <f>IFERROR(C47/E47,0)</f>
        <v>-1.2124999999999999</v>
      </c>
      <c r="K47" s="10">
        <f>IFERROR(D47/E47,0)</f>
        <v>-0.24250000000000002</v>
      </c>
      <c r="L47" s="10" t="str">
        <f>LEFT(B47,3)</f>
        <v>UEG</v>
      </c>
      <c r="N47">
        <f t="shared" si="1"/>
        <v>-9.6999999999999993</v>
      </c>
      <c r="O47">
        <f t="shared" si="7"/>
        <v>-1.9400000000000002</v>
      </c>
      <c r="P47">
        <f t="shared" si="8"/>
        <v>8</v>
      </c>
      <c r="Q47">
        <f t="shared" si="9"/>
        <v>3</v>
      </c>
      <c r="R47">
        <f t="shared" si="10"/>
        <v>0</v>
      </c>
      <c r="S47">
        <f t="shared" si="11"/>
        <v>5</v>
      </c>
    </row>
    <row r="48" spans="1:19" x14ac:dyDescent="0.25">
      <c r="A48">
        <v>47</v>
      </c>
      <c r="B48" t="s">
        <v>95</v>
      </c>
      <c r="C48">
        <v>-9.6999999999999993</v>
      </c>
      <c r="D48">
        <v>-1.94</v>
      </c>
      <c r="E48">
        <v>10</v>
      </c>
      <c r="F48">
        <v>4</v>
      </c>
      <c r="G48">
        <v>0</v>
      </c>
      <c r="H48">
        <v>6</v>
      </c>
      <c r="I48" s="7">
        <f>IFERROR((F48/E48)*100,0)</f>
        <v>40</v>
      </c>
      <c r="J48" s="10">
        <f>IFERROR(C48/E48,0)</f>
        <v>-0.97</v>
      </c>
      <c r="K48" s="10">
        <f>IFERROR(D48/E48,0)</f>
        <v>-0.19400000000000001</v>
      </c>
      <c r="L48" s="10" t="str">
        <f>LEFT(B48,3)</f>
        <v>PEG</v>
      </c>
      <c r="N48">
        <f t="shared" si="1"/>
        <v>-9.6999999999999993</v>
      </c>
      <c r="O48">
        <f t="shared" si="7"/>
        <v>-1.94</v>
      </c>
      <c r="P48">
        <f t="shared" si="8"/>
        <v>10</v>
      </c>
      <c r="Q48">
        <f t="shared" si="9"/>
        <v>4</v>
      </c>
      <c r="R48">
        <f t="shared" ref="R48:R53" si="12">G48+Y48</f>
        <v>0</v>
      </c>
      <c r="S48">
        <f t="shared" ref="S48:S53" si="13">H48+Z48</f>
        <v>6</v>
      </c>
    </row>
    <row r="49" spans="1:19" x14ac:dyDescent="0.25">
      <c r="A49">
        <v>48</v>
      </c>
      <c r="B49" s="8" t="s">
        <v>128</v>
      </c>
      <c r="C49">
        <v>-10.199999999999999</v>
      </c>
      <c r="D49">
        <v>-2.04</v>
      </c>
      <c r="E49">
        <v>4</v>
      </c>
      <c r="F49">
        <v>0</v>
      </c>
      <c r="G49">
        <v>0</v>
      </c>
      <c r="H49">
        <v>4</v>
      </c>
      <c r="I49" s="7">
        <f>IFERROR((F49/E49)*100,0)</f>
        <v>0</v>
      </c>
      <c r="J49" s="10">
        <f>IFERROR(C49/E49,0)</f>
        <v>-2.5499999999999998</v>
      </c>
      <c r="K49" s="10">
        <f>IFERROR(D49/E49,0)</f>
        <v>-0.51</v>
      </c>
      <c r="L49" s="10" t="str">
        <f>LEFT(B49,3)</f>
        <v>UEG</v>
      </c>
      <c r="N49">
        <f t="shared" si="1"/>
        <v>-10.199999999999999</v>
      </c>
      <c r="O49">
        <f t="shared" si="7"/>
        <v>-2.04</v>
      </c>
      <c r="P49">
        <f t="shared" si="8"/>
        <v>4</v>
      </c>
      <c r="Q49">
        <f t="shared" si="9"/>
        <v>0</v>
      </c>
      <c r="R49">
        <f t="shared" si="12"/>
        <v>0</v>
      </c>
      <c r="S49">
        <f t="shared" si="13"/>
        <v>4</v>
      </c>
    </row>
    <row r="50" spans="1:19" x14ac:dyDescent="0.25">
      <c r="A50">
        <v>49</v>
      </c>
      <c r="B50" s="8" t="s">
        <v>130</v>
      </c>
      <c r="C50">
        <v>-11.4</v>
      </c>
      <c r="D50">
        <v>-2.2800000000000002</v>
      </c>
      <c r="E50">
        <v>1</v>
      </c>
      <c r="F50">
        <v>0</v>
      </c>
      <c r="G50">
        <v>0</v>
      </c>
      <c r="H50">
        <v>1</v>
      </c>
      <c r="I50" s="7">
        <f>IFERROR((F50/E50)*100,0)</f>
        <v>0</v>
      </c>
      <c r="J50" s="10">
        <f>IFERROR(C50/E50,0)</f>
        <v>-11.4</v>
      </c>
      <c r="K50" s="10">
        <f>IFERROR(D50/E50,0)</f>
        <v>-2.2800000000000002</v>
      </c>
      <c r="L50" s="10" t="str">
        <f>LEFT(B50,3)</f>
        <v>UEG</v>
      </c>
      <c r="N50">
        <f t="shared" si="1"/>
        <v>-11.4</v>
      </c>
      <c r="O50">
        <f t="shared" si="7"/>
        <v>-2.2800000000000002</v>
      </c>
      <c r="P50">
        <f t="shared" si="8"/>
        <v>1</v>
      </c>
      <c r="Q50">
        <f t="shared" si="9"/>
        <v>0</v>
      </c>
      <c r="R50">
        <f t="shared" si="12"/>
        <v>0</v>
      </c>
      <c r="S50">
        <f t="shared" si="13"/>
        <v>1</v>
      </c>
    </row>
    <row r="51" spans="1:19" x14ac:dyDescent="0.25">
      <c r="A51">
        <v>50</v>
      </c>
      <c r="B51" s="8" t="s">
        <v>54</v>
      </c>
      <c r="C51">
        <v>-12</v>
      </c>
      <c r="D51">
        <v>-2.4</v>
      </c>
      <c r="E51">
        <v>2</v>
      </c>
      <c r="F51">
        <v>0</v>
      </c>
      <c r="G51">
        <v>0</v>
      </c>
      <c r="H51">
        <v>2</v>
      </c>
      <c r="I51" s="7">
        <f>IFERROR((F51/E51)*100,0)</f>
        <v>0</v>
      </c>
      <c r="J51" s="10">
        <f>IFERROR(C51/E51,0)</f>
        <v>-6</v>
      </c>
      <c r="K51" s="10">
        <f>IFERROR(D51/E51,0)</f>
        <v>-1.2</v>
      </c>
      <c r="L51" s="10" t="str">
        <f>LEFT(B51,3)</f>
        <v>UEG</v>
      </c>
      <c r="N51">
        <f t="shared" si="1"/>
        <v>-12</v>
      </c>
      <c r="O51">
        <f t="shared" si="7"/>
        <v>-2.4</v>
      </c>
      <c r="P51">
        <f t="shared" si="8"/>
        <v>2</v>
      </c>
      <c r="Q51">
        <f t="shared" si="9"/>
        <v>0</v>
      </c>
      <c r="R51">
        <f t="shared" si="12"/>
        <v>0</v>
      </c>
      <c r="S51">
        <f t="shared" si="13"/>
        <v>2</v>
      </c>
    </row>
    <row r="52" spans="1:19" x14ac:dyDescent="0.25">
      <c r="A52">
        <v>51</v>
      </c>
      <c r="B52" s="8" t="s">
        <v>70</v>
      </c>
      <c r="C52">
        <v>-12</v>
      </c>
      <c r="D52">
        <v>-2.4</v>
      </c>
      <c r="E52">
        <v>5</v>
      </c>
      <c r="F52">
        <v>2</v>
      </c>
      <c r="G52">
        <v>0</v>
      </c>
      <c r="H52">
        <v>3</v>
      </c>
      <c r="I52" s="7">
        <f>IFERROR((F52/E52)*100,0)</f>
        <v>40</v>
      </c>
      <c r="J52" s="10">
        <f>IFERROR(C52/E52,0)</f>
        <v>-2.4</v>
      </c>
      <c r="K52" s="10">
        <f>IFERROR(D52/E52,0)</f>
        <v>-0.48</v>
      </c>
      <c r="L52" s="10" t="str">
        <f>LEFT(B52,3)</f>
        <v>LEG</v>
      </c>
      <c r="N52">
        <f t="shared" si="1"/>
        <v>-12</v>
      </c>
      <c r="O52">
        <f t="shared" si="7"/>
        <v>-2.4</v>
      </c>
      <c r="P52">
        <f t="shared" si="8"/>
        <v>5</v>
      </c>
      <c r="Q52">
        <f t="shared" si="9"/>
        <v>2</v>
      </c>
      <c r="R52">
        <f t="shared" si="12"/>
        <v>0</v>
      </c>
      <c r="S52">
        <f t="shared" si="13"/>
        <v>3</v>
      </c>
    </row>
    <row r="53" spans="1:19" x14ac:dyDescent="0.25">
      <c r="A53">
        <v>52</v>
      </c>
      <c r="B53" t="s">
        <v>92</v>
      </c>
      <c r="C53">
        <v>-13</v>
      </c>
      <c r="D53">
        <v>-2.6000000000000005</v>
      </c>
      <c r="E53">
        <v>7</v>
      </c>
      <c r="F53">
        <v>3</v>
      </c>
      <c r="G53">
        <v>0</v>
      </c>
      <c r="H53">
        <v>4</v>
      </c>
      <c r="I53" s="7">
        <f>IFERROR((F53/E53)*100,0)</f>
        <v>42.857142857142854</v>
      </c>
      <c r="J53" s="10">
        <f>IFERROR(C53/E53,0)</f>
        <v>-1.8571428571428572</v>
      </c>
      <c r="K53" s="10">
        <f>IFERROR(D53/E53,0)</f>
        <v>-0.3714285714285715</v>
      </c>
      <c r="L53" s="10" t="str">
        <f>LEFT(B53,3)</f>
        <v>PEG</v>
      </c>
      <c r="N53">
        <f t="shared" si="1"/>
        <v>-13</v>
      </c>
      <c r="O53">
        <f t="shared" si="7"/>
        <v>-2.6000000000000005</v>
      </c>
      <c r="P53">
        <f t="shared" si="8"/>
        <v>7</v>
      </c>
      <c r="Q53">
        <f t="shared" si="9"/>
        <v>3</v>
      </c>
      <c r="R53">
        <f t="shared" si="12"/>
        <v>0</v>
      </c>
      <c r="S53">
        <f t="shared" si="13"/>
        <v>4</v>
      </c>
    </row>
    <row r="54" spans="1:19" x14ac:dyDescent="0.25">
      <c r="A54">
        <v>53</v>
      </c>
      <c r="B54" s="8" t="s">
        <v>127</v>
      </c>
      <c r="C54">
        <v>-13.899999999999999</v>
      </c>
      <c r="D54">
        <v>-2.7800000000000002</v>
      </c>
      <c r="E54">
        <v>4</v>
      </c>
      <c r="F54">
        <v>0</v>
      </c>
      <c r="G54">
        <v>0</v>
      </c>
      <c r="H54">
        <v>4</v>
      </c>
      <c r="I54" s="7">
        <f>IFERROR((F54/E54)*100,0)</f>
        <v>0</v>
      </c>
      <c r="J54" s="10">
        <f>IFERROR(C54/E54,0)</f>
        <v>-3.4749999999999996</v>
      </c>
      <c r="K54" s="10">
        <f>IFERROR(D54/E54,0)</f>
        <v>-0.69500000000000006</v>
      </c>
      <c r="L54" s="10" t="str">
        <f>LEFT(B54,3)</f>
        <v>UEG</v>
      </c>
      <c r="N54">
        <f t="shared" ref="N54:N56" si="14">C54+U54</f>
        <v>-13.899999999999999</v>
      </c>
      <c r="O54">
        <f t="shared" ref="O54:O56" si="15">D54+V54</f>
        <v>-2.7800000000000002</v>
      </c>
      <c r="P54">
        <f t="shared" ref="P54:P56" si="16">E54+W54</f>
        <v>4</v>
      </c>
      <c r="Q54">
        <f t="shared" ref="Q54:Q56" si="17">F54+X54</f>
        <v>0</v>
      </c>
      <c r="R54">
        <f t="shared" ref="R54:R56" si="18">G54+Y54</f>
        <v>0</v>
      </c>
      <c r="S54">
        <f t="shared" ref="S54:S56" si="19">H54+Z54</f>
        <v>4</v>
      </c>
    </row>
    <row r="55" spans="1:19" x14ac:dyDescent="0.25">
      <c r="A55">
        <v>54</v>
      </c>
      <c r="B55" s="8" t="s">
        <v>80</v>
      </c>
      <c r="C55">
        <v>-14</v>
      </c>
      <c r="D55">
        <v>-2.8</v>
      </c>
      <c r="E55">
        <v>4</v>
      </c>
      <c r="F55">
        <v>0</v>
      </c>
      <c r="G55">
        <v>0</v>
      </c>
      <c r="H55">
        <v>4</v>
      </c>
      <c r="I55" s="7">
        <f>IFERROR((F55/E55)*100,0)</f>
        <v>0</v>
      </c>
      <c r="J55" s="10">
        <f>IFERROR(C55/E55,0)</f>
        <v>-3.5</v>
      </c>
      <c r="K55" s="10">
        <f>IFERROR(D55/E55,0)</f>
        <v>-0.7</v>
      </c>
      <c r="L55" s="10" t="str">
        <f>LEFT(B55,3)</f>
        <v>LEG</v>
      </c>
      <c r="N55">
        <f t="shared" si="14"/>
        <v>-14</v>
      </c>
      <c r="O55">
        <f t="shared" si="15"/>
        <v>-2.8</v>
      </c>
      <c r="P55">
        <f t="shared" si="16"/>
        <v>4</v>
      </c>
      <c r="Q55">
        <f t="shared" si="17"/>
        <v>0</v>
      </c>
      <c r="R55">
        <f t="shared" si="18"/>
        <v>0</v>
      </c>
      <c r="S55">
        <f t="shared" si="19"/>
        <v>4</v>
      </c>
    </row>
    <row r="56" spans="1:19" x14ac:dyDescent="0.25">
      <c r="A56">
        <v>55</v>
      </c>
      <c r="B56" s="8" t="s">
        <v>129</v>
      </c>
      <c r="C56">
        <v>-15.8</v>
      </c>
      <c r="D56">
        <v>-3.16</v>
      </c>
      <c r="E56">
        <v>8</v>
      </c>
      <c r="F56">
        <v>2</v>
      </c>
      <c r="G56">
        <v>0</v>
      </c>
      <c r="H56">
        <v>6</v>
      </c>
      <c r="I56" s="7">
        <f>IFERROR((F56/E56)*100,0)</f>
        <v>25</v>
      </c>
      <c r="J56" s="10">
        <f>IFERROR(C56/E56,0)</f>
        <v>-1.9750000000000001</v>
      </c>
      <c r="K56" s="10">
        <f>IFERROR(D56/E56,0)</f>
        <v>-0.39500000000000002</v>
      </c>
      <c r="L56" s="10" t="str">
        <f>LEFT(B56,3)</f>
        <v>VEG</v>
      </c>
      <c r="N56">
        <f t="shared" si="14"/>
        <v>-15.8</v>
      </c>
      <c r="O56">
        <f t="shared" si="15"/>
        <v>-3.16</v>
      </c>
      <c r="P56">
        <f t="shared" si="16"/>
        <v>8</v>
      </c>
      <c r="Q56">
        <f t="shared" si="17"/>
        <v>2</v>
      </c>
      <c r="R56">
        <f t="shared" si="18"/>
        <v>0</v>
      </c>
      <c r="S56">
        <f t="shared" si="19"/>
        <v>6</v>
      </c>
    </row>
    <row r="57" spans="1:19" x14ac:dyDescent="0.25">
      <c r="A57">
        <v>56</v>
      </c>
      <c r="B57" s="8" t="s">
        <v>135</v>
      </c>
      <c r="C57">
        <v>-19.5</v>
      </c>
      <c r="D57">
        <v>-3.9</v>
      </c>
      <c r="E57">
        <v>1</v>
      </c>
      <c r="F57">
        <v>0</v>
      </c>
      <c r="G57">
        <v>0</v>
      </c>
      <c r="H57">
        <v>1</v>
      </c>
      <c r="I57" s="7">
        <f>IFERROR((F57/E57)*100,0)</f>
        <v>0</v>
      </c>
      <c r="J57" s="10">
        <f>IFERROR(C57/E57,0)</f>
        <v>-19.5</v>
      </c>
      <c r="K57" s="10">
        <f>IFERROR(D57/E57,0)</f>
        <v>-3.9</v>
      </c>
      <c r="L57" s="10" t="str">
        <f>LEFT(B57,3)</f>
        <v>UEG</v>
      </c>
      <c r="N57">
        <f t="shared" ref="N57:N61" si="20">C57+U57</f>
        <v>-19.5</v>
      </c>
      <c r="O57">
        <f t="shared" ref="O57:O61" si="21">D57+V57</f>
        <v>-3.9</v>
      </c>
      <c r="P57">
        <f t="shared" ref="P57:P61" si="22">E57+W57</f>
        <v>1</v>
      </c>
      <c r="Q57">
        <f t="shared" ref="Q57:Q61" si="23">F57+X57</f>
        <v>0</v>
      </c>
      <c r="R57">
        <f t="shared" ref="R57:R61" si="24">G57+Y57</f>
        <v>0</v>
      </c>
      <c r="S57">
        <f t="shared" ref="S57:S61" si="25">H57+Z57</f>
        <v>1</v>
      </c>
    </row>
    <row r="58" spans="1:19" x14ac:dyDescent="0.25">
      <c r="A58">
        <v>57</v>
      </c>
      <c r="B58" s="8" t="s">
        <v>141</v>
      </c>
      <c r="C58">
        <v>-20.099999999999998</v>
      </c>
      <c r="D58">
        <v>-4.0199999999999996</v>
      </c>
      <c r="E58">
        <v>2</v>
      </c>
      <c r="F58">
        <v>0</v>
      </c>
      <c r="G58">
        <v>0</v>
      </c>
      <c r="H58">
        <v>2</v>
      </c>
      <c r="I58" s="7">
        <f>IFERROR((F58/E58)*100,0)</f>
        <v>0</v>
      </c>
      <c r="J58" s="10">
        <f>IFERROR(C58/E58,0)</f>
        <v>-10.049999999999999</v>
      </c>
      <c r="K58" s="10">
        <f>IFERROR(D58/E58,0)</f>
        <v>-2.0099999999999998</v>
      </c>
      <c r="L58" s="10" t="str">
        <f>LEFT(B58,3)</f>
        <v>PEG</v>
      </c>
      <c r="N58">
        <f t="shared" si="20"/>
        <v>-20.099999999999998</v>
      </c>
      <c r="O58">
        <f t="shared" si="21"/>
        <v>-4.0199999999999996</v>
      </c>
      <c r="P58">
        <f t="shared" si="22"/>
        <v>2</v>
      </c>
      <c r="Q58">
        <f t="shared" si="23"/>
        <v>0</v>
      </c>
      <c r="R58">
        <f t="shared" si="24"/>
        <v>0</v>
      </c>
      <c r="S58">
        <f t="shared" si="25"/>
        <v>2</v>
      </c>
    </row>
    <row r="59" spans="1:19" x14ac:dyDescent="0.25">
      <c r="A59">
        <v>58</v>
      </c>
      <c r="B59" t="s">
        <v>57</v>
      </c>
      <c r="C59">
        <v>-22.700000000000003</v>
      </c>
      <c r="D59">
        <v>-4.5399999999999991</v>
      </c>
      <c r="E59">
        <v>19</v>
      </c>
      <c r="F59">
        <v>9</v>
      </c>
      <c r="G59">
        <v>0</v>
      </c>
      <c r="H59">
        <v>10</v>
      </c>
      <c r="I59" s="7">
        <f>IFERROR((F59/E59)*100,0)</f>
        <v>47.368421052631575</v>
      </c>
      <c r="J59" s="10">
        <f>IFERROR(C59/E59,0)</f>
        <v>-1.1947368421052633</v>
      </c>
      <c r="K59" s="10">
        <f>IFERROR(D59/E59,0)</f>
        <v>-0.23894736842105258</v>
      </c>
      <c r="L59" s="10" t="str">
        <f>LEFT(B59,3)</f>
        <v>VEG</v>
      </c>
      <c r="N59">
        <f t="shared" si="20"/>
        <v>-22.700000000000003</v>
      </c>
      <c r="O59">
        <f t="shared" si="21"/>
        <v>-4.5399999999999991</v>
      </c>
      <c r="P59">
        <f t="shared" si="22"/>
        <v>19</v>
      </c>
      <c r="Q59">
        <f t="shared" si="23"/>
        <v>9</v>
      </c>
      <c r="R59">
        <f t="shared" si="24"/>
        <v>0</v>
      </c>
      <c r="S59">
        <f t="shared" si="25"/>
        <v>10</v>
      </c>
    </row>
    <row r="60" spans="1:19" x14ac:dyDescent="0.25">
      <c r="A60">
        <v>59</v>
      </c>
      <c r="B60" t="s">
        <v>59</v>
      </c>
      <c r="C60">
        <v>-42.699999999999996</v>
      </c>
      <c r="D60">
        <v>-8.5399999999999991</v>
      </c>
      <c r="E60">
        <v>17</v>
      </c>
      <c r="F60">
        <v>7</v>
      </c>
      <c r="G60">
        <v>1</v>
      </c>
      <c r="H60">
        <v>9</v>
      </c>
      <c r="I60" s="7">
        <f>IFERROR((F60/E60)*100,0)</f>
        <v>41.17647058823529</v>
      </c>
      <c r="J60" s="10">
        <f>IFERROR(C60/E60,0)</f>
        <v>-2.5117647058823529</v>
      </c>
      <c r="K60" s="10">
        <f>IFERROR(D60/E60,0)</f>
        <v>-0.50235294117647056</v>
      </c>
      <c r="L60" s="10" t="str">
        <f>LEFT(B60,3)</f>
        <v>PEG</v>
      </c>
      <c r="N60">
        <f t="shared" si="20"/>
        <v>-42.699999999999996</v>
      </c>
      <c r="O60">
        <f t="shared" si="21"/>
        <v>-8.5399999999999991</v>
      </c>
      <c r="P60">
        <f t="shared" si="22"/>
        <v>17</v>
      </c>
      <c r="Q60">
        <f t="shared" si="23"/>
        <v>7</v>
      </c>
      <c r="R60">
        <f t="shared" si="24"/>
        <v>1</v>
      </c>
      <c r="S60">
        <f t="shared" si="25"/>
        <v>9</v>
      </c>
    </row>
    <row r="61" spans="1:19" x14ac:dyDescent="0.25">
      <c r="A61">
        <v>60</v>
      </c>
      <c r="B61" t="s">
        <v>83</v>
      </c>
      <c r="C61">
        <v>-42.900000000000006</v>
      </c>
      <c r="D61">
        <v>-8.58</v>
      </c>
      <c r="E61">
        <v>4</v>
      </c>
      <c r="F61">
        <v>0</v>
      </c>
      <c r="G61">
        <v>0</v>
      </c>
      <c r="H61">
        <v>4</v>
      </c>
      <c r="I61" s="7">
        <f>IFERROR((F61/E61)*100,0)</f>
        <v>0</v>
      </c>
      <c r="J61" s="10">
        <f>IFERROR(C61/E61,0)</f>
        <v>-10.725000000000001</v>
      </c>
      <c r="K61" s="10">
        <f>IFERROR(D61/E61,0)</f>
        <v>-2.145</v>
      </c>
      <c r="L61" s="10" t="str">
        <f>LEFT(B61,3)</f>
        <v>LEG</v>
      </c>
      <c r="N61">
        <f t="shared" si="20"/>
        <v>-42.900000000000006</v>
      </c>
      <c r="O61">
        <f t="shared" si="21"/>
        <v>-8.58</v>
      </c>
      <c r="P61">
        <f t="shared" si="22"/>
        <v>4</v>
      </c>
      <c r="Q61">
        <f t="shared" si="23"/>
        <v>0</v>
      </c>
      <c r="R61">
        <f t="shared" si="24"/>
        <v>0</v>
      </c>
      <c r="S61">
        <f t="shared" si="25"/>
        <v>4</v>
      </c>
    </row>
    <row r="62" spans="1:19" x14ac:dyDescent="0.25">
      <c r="B62" s="8"/>
      <c r="I62" s="7"/>
      <c r="J62" s="10"/>
      <c r="K62" s="10"/>
      <c r="L62" s="10"/>
    </row>
    <row r="63" spans="1:19" x14ac:dyDescent="0.25">
      <c r="B63" s="8"/>
      <c r="I63" s="7"/>
      <c r="J63" s="10"/>
      <c r="K63" s="10"/>
      <c r="L63" s="10"/>
    </row>
    <row r="64" spans="1:19" x14ac:dyDescent="0.25">
      <c r="B64" s="8"/>
      <c r="I64" s="7"/>
      <c r="J64" s="10"/>
      <c r="K64" s="10"/>
      <c r="L64" s="10"/>
    </row>
    <row r="65" spans="2:12" x14ac:dyDescent="0.25">
      <c r="B65" s="8"/>
      <c r="I65" s="7"/>
      <c r="J65" s="10"/>
      <c r="K65" s="10"/>
      <c r="L65" s="10"/>
    </row>
    <row r="66" spans="2:12" x14ac:dyDescent="0.25">
      <c r="B66" s="8"/>
      <c r="I66" s="7"/>
      <c r="J66" s="10"/>
      <c r="K66" s="10"/>
      <c r="L66" s="10"/>
    </row>
    <row r="67" spans="2:12" x14ac:dyDescent="0.25">
      <c r="B67" s="8"/>
      <c r="I67" s="7"/>
      <c r="J67" s="10"/>
      <c r="K67" s="10"/>
      <c r="L67" s="10"/>
    </row>
    <row r="68" spans="2:12" x14ac:dyDescent="0.25">
      <c r="B68" s="8"/>
      <c r="I68" s="7"/>
      <c r="J68" s="10"/>
      <c r="K68" s="10"/>
      <c r="L68" s="10"/>
    </row>
    <row r="69" spans="2:12" x14ac:dyDescent="0.25">
      <c r="B69" s="8"/>
      <c r="I69" s="7"/>
      <c r="J69" s="10"/>
      <c r="K69" s="10"/>
      <c r="L69" s="10"/>
    </row>
    <row r="70" spans="2:12" x14ac:dyDescent="0.25">
      <c r="B70" s="8"/>
      <c r="I70" s="7"/>
      <c r="J70" s="10"/>
      <c r="K70" s="10"/>
      <c r="L70" s="10"/>
    </row>
    <row r="71" spans="2:12" x14ac:dyDescent="0.25">
      <c r="B71" s="8"/>
      <c r="I71" s="7"/>
      <c r="J71" s="10"/>
      <c r="K71" s="10"/>
      <c r="L71" s="10"/>
    </row>
    <row r="72" spans="2:12" x14ac:dyDescent="0.25">
      <c r="B72" s="8"/>
      <c r="I72" s="7"/>
      <c r="J72" s="10"/>
      <c r="K72" s="10"/>
      <c r="L72" s="10"/>
    </row>
    <row r="73" spans="2:12" x14ac:dyDescent="0.25">
      <c r="B73" s="8"/>
      <c r="I73" s="7"/>
      <c r="J73" s="10"/>
      <c r="K73" s="10"/>
      <c r="L73" s="10"/>
    </row>
    <row r="74" spans="2:12" x14ac:dyDescent="0.25">
      <c r="B74" s="8"/>
      <c r="I74" s="7"/>
      <c r="J74" s="10"/>
      <c r="K74" s="10"/>
      <c r="L74" s="10"/>
    </row>
    <row r="75" spans="2:12" x14ac:dyDescent="0.25">
      <c r="B75" s="8"/>
    </row>
  </sheetData>
  <sortState xmlns:xlrd2="http://schemas.microsoft.com/office/spreadsheetml/2017/richdata2" ref="B2:L75">
    <sortCondition descending="1" ref="C2:C75"/>
  </sortState>
  <conditionalFormatting sqref="C1:C1048576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1:B1048576">
    <cfRule type="containsText" dxfId="13" priority="7" operator="containsText" text="PEG">
      <formula>NOT(ISERROR(SEARCH("PEG",B1)))</formula>
    </cfRule>
    <cfRule type="containsText" dxfId="12" priority="6" operator="containsText" text="SEG">
      <formula>NOT(ISERROR(SEARCH("SEG",B1)))</formula>
    </cfRule>
    <cfRule type="containsText" dxfId="11" priority="5" operator="containsText" text="UEG">
      <formula>NOT(ISERROR(SEARCH("UEG",B1)))</formula>
    </cfRule>
    <cfRule type="containsText" dxfId="10" priority="4" operator="containsText" text="WEG">
      <formula>NOT(ISERROR(SEARCH("WEG",B1)))</formula>
    </cfRule>
    <cfRule type="containsText" dxfId="9" priority="3" operator="containsText" text="VEG">
      <formula>NOT(ISERROR(SEARCH("VEG",B1)))</formula>
    </cfRule>
    <cfRule type="containsText" dxfId="8" priority="2" operator="containsText" text="VEG">
      <formula>NOT(ISERROR(SEARCH("VEG",B1)))</formula>
    </cfRule>
    <cfRule type="containsText" dxfId="7" priority="1" operator="containsText" text="LEG">
      <formula>NOT(ISERROR(SEARCH("LEG",B1)))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5"/>
  <sheetViews>
    <sheetView tabSelected="1" workbookViewId="0">
      <pane xSplit="1" topLeftCell="B1" activePane="topRight" state="frozen"/>
      <selection pane="topRight" activeCell="Q14" sqref="Q14"/>
    </sheetView>
  </sheetViews>
  <sheetFormatPr defaultRowHeight="15" x14ac:dyDescent="0.25"/>
  <cols>
    <col min="1" max="1" width="21.42578125" customWidth="1"/>
    <col min="8" max="28" width="8.42578125" style="11" customWidth="1"/>
  </cols>
  <sheetData>
    <row r="1" spans="1:11" x14ac:dyDescent="0.25">
      <c r="A1" t="s">
        <v>104</v>
      </c>
      <c r="C1">
        <v>500</v>
      </c>
    </row>
    <row r="2" spans="1:11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1" x14ac:dyDescent="0.25">
      <c r="A3" t="s">
        <v>65</v>
      </c>
      <c r="B3">
        <f>SUM(H3:AB3)</f>
        <v>22.199999999999996</v>
      </c>
      <c r="C3">
        <f>(B3/$C$1)*100</f>
        <v>4.4399999999999986</v>
      </c>
      <c r="D3">
        <f>COUNTA(H3:AB3)</f>
        <v>4</v>
      </c>
      <c r="E3">
        <f>COUNTIF(H3:AB3, "&gt;0")</f>
        <v>2</v>
      </c>
      <c r="F3">
        <f>COUNTIF(H3:AB3, "=0")</f>
        <v>0</v>
      </c>
      <c r="G3">
        <f>COUNTIF(H3:AB3, "&lt;0")</f>
        <v>2</v>
      </c>
      <c r="H3" s="17">
        <v>29.7</v>
      </c>
      <c r="I3" s="17">
        <v>-0.6</v>
      </c>
      <c r="J3" s="18">
        <v>0.2</v>
      </c>
      <c r="K3" s="18">
        <v>-7.1</v>
      </c>
    </row>
    <row r="4" spans="1:11" x14ac:dyDescent="0.25">
      <c r="A4" t="s">
        <v>56</v>
      </c>
      <c r="B4">
        <f>SUM(H4:AB4)</f>
        <v>-7.1999999999999993</v>
      </c>
      <c r="C4">
        <f>(B4/$C$1)*100</f>
        <v>-1.4399999999999997</v>
      </c>
      <c r="D4">
        <f>COUNTA(H4:AB4)</f>
        <v>3</v>
      </c>
      <c r="E4">
        <f>COUNTIF(H4:AB4, "&gt;0")</f>
        <v>1</v>
      </c>
      <c r="F4">
        <f>COUNTIF(H4:AB4, "=0")</f>
        <v>0</v>
      </c>
      <c r="G4">
        <f>COUNTIF(H4:AB4, "&lt;0")</f>
        <v>2</v>
      </c>
      <c r="H4" s="18">
        <v>2.1</v>
      </c>
      <c r="I4" s="18">
        <v>-4.8</v>
      </c>
      <c r="J4" s="18">
        <v>-4.5</v>
      </c>
    </row>
    <row r="5" spans="1:11" x14ac:dyDescent="0.25">
      <c r="A5" s="8" t="s">
        <v>131</v>
      </c>
      <c r="B5">
        <f>SUM(H5:AB5)</f>
        <v>8.6000000000000014</v>
      </c>
      <c r="C5">
        <f>(B5/$C$1)*100</f>
        <v>1.7200000000000004</v>
      </c>
      <c r="D5">
        <f>COUNTA(H5:AB5)</f>
        <v>3</v>
      </c>
      <c r="E5">
        <f>COUNTIF(H5:AB5, "&gt;0")</f>
        <v>2</v>
      </c>
      <c r="F5">
        <f>COUNTIF(H5:AB5, "=0")</f>
        <v>0</v>
      </c>
      <c r="G5">
        <f>COUNTIF(H5:AB5, "&lt;0")</f>
        <v>1</v>
      </c>
      <c r="H5" s="17">
        <v>-1.6</v>
      </c>
      <c r="I5" s="18">
        <v>6.4</v>
      </c>
      <c r="J5" s="18">
        <v>3.8</v>
      </c>
    </row>
    <row r="6" spans="1:11" x14ac:dyDescent="0.25">
      <c r="A6" s="8" t="s">
        <v>133</v>
      </c>
      <c r="B6">
        <f>SUM(H6:AB6)</f>
        <v>-18.5</v>
      </c>
      <c r="C6">
        <f>(B6/$C$1)*100</f>
        <v>-3.6999999999999997</v>
      </c>
      <c r="D6">
        <f>COUNTA(H6:AB6)</f>
        <v>3</v>
      </c>
      <c r="E6">
        <f>COUNTIF(H6:AB6, "&gt;0")</f>
        <v>1</v>
      </c>
      <c r="F6">
        <f>COUNTIF(H6:AB6, "=0")</f>
        <v>0</v>
      </c>
      <c r="G6">
        <f>COUNTIF(H6:AB6, "&lt;0")</f>
        <v>2</v>
      </c>
      <c r="H6" s="17">
        <v>-6.5</v>
      </c>
      <c r="I6" s="17">
        <v>3.4</v>
      </c>
      <c r="J6" s="17">
        <v>-15.4</v>
      </c>
    </row>
    <row r="7" spans="1:11" x14ac:dyDescent="0.25">
      <c r="A7" s="8" t="s">
        <v>84</v>
      </c>
      <c r="B7">
        <f>SUM(H7:AB7)</f>
        <v>-6.3</v>
      </c>
      <c r="C7">
        <f>(B7/$C$1)*100</f>
        <v>-1.26</v>
      </c>
      <c r="D7">
        <f>COUNTA(H7:AB7)</f>
        <v>2</v>
      </c>
      <c r="E7">
        <f>COUNTIF(H7:AB7, "&gt;0")</f>
        <v>0</v>
      </c>
      <c r="F7">
        <f>COUNTIF(H7:AB7, "=0")</f>
        <v>0</v>
      </c>
      <c r="G7">
        <f>COUNTIF(H7:AB7, "&lt;0")</f>
        <v>2</v>
      </c>
      <c r="H7" s="18">
        <v>-4.8</v>
      </c>
      <c r="I7" s="18">
        <v>-1.5</v>
      </c>
    </row>
    <row r="8" spans="1:11" x14ac:dyDescent="0.25">
      <c r="A8" s="8" t="s">
        <v>132</v>
      </c>
      <c r="B8">
        <f>SUM(H8:AB8)</f>
        <v>2.1</v>
      </c>
      <c r="C8">
        <f>(B8/$C$1)*100</f>
        <v>0.42000000000000004</v>
      </c>
      <c r="D8">
        <f>COUNTA(H8:AB8)</f>
        <v>2</v>
      </c>
      <c r="E8">
        <f>COUNTIF(H8:AB8, "&gt;0")</f>
        <v>2</v>
      </c>
      <c r="F8">
        <f>COUNTIF(H8:AB8, "=0")</f>
        <v>0</v>
      </c>
      <c r="G8">
        <f>COUNTIF(H8:AB8, "&lt;0")</f>
        <v>0</v>
      </c>
      <c r="H8" s="17">
        <v>0.8</v>
      </c>
      <c r="I8" s="18">
        <v>1.3</v>
      </c>
    </row>
    <row r="9" spans="1:11" x14ac:dyDescent="0.25">
      <c r="A9" s="8" t="s">
        <v>94</v>
      </c>
      <c r="B9">
        <f>SUM(H9:AB9)</f>
        <v>7.1</v>
      </c>
      <c r="C9">
        <f>(B9/$C$1)*100</f>
        <v>1.42</v>
      </c>
      <c r="D9">
        <f>COUNTA(H9:AB9)</f>
        <v>2</v>
      </c>
      <c r="E9">
        <f>COUNTIF(H9:AB9, "&gt;0")</f>
        <v>2</v>
      </c>
      <c r="F9">
        <f>COUNTIF(H9:AB9, "=0")</f>
        <v>0</v>
      </c>
      <c r="G9">
        <f>COUNTIF(H9:AB9, "&lt;0")</f>
        <v>0</v>
      </c>
      <c r="H9" s="17">
        <v>1.6</v>
      </c>
      <c r="I9" s="18">
        <v>5.5</v>
      </c>
    </row>
    <row r="10" spans="1:11" x14ac:dyDescent="0.25">
      <c r="A10" t="s">
        <v>66</v>
      </c>
      <c r="B10">
        <f>SUM(H10:AB10)</f>
        <v>3.2</v>
      </c>
      <c r="C10">
        <f>(B10/$C$1)*100</f>
        <v>0.64</v>
      </c>
      <c r="D10">
        <f>COUNTA(H10:AB10)</f>
        <v>2</v>
      </c>
      <c r="E10">
        <f>COUNTIF(H10:AB10, "&gt;0")</f>
        <v>1</v>
      </c>
      <c r="F10">
        <f>COUNTIF(H10:AB10, "=0")</f>
        <v>0</v>
      </c>
      <c r="G10">
        <f>COUNTIF(H10:AB10, "&lt;0")</f>
        <v>1</v>
      </c>
      <c r="H10" s="17">
        <v>-0.3</v>
      </c>
      <c r="I10" s="17">
        <v>3.5</v>
      </c>
    </row>
    <row r="11" spans="1:11" x14ac:dyDescent="0.25">
      <c r="A11" t="s">
        <v>96</v>
      </c>
      <c r="B11">
        <f>SUM(H11:AB11)</f>
        <v>-20.100000000000001</v>
      </c>
      <c r="C11">
        <f>(B11/$C$1)*100</f>
        <v>-4.0199999999999996</v>
      </c>
      <c r="D11">
        <f>COUNTA(H11:AB11)</f>
        <v>2</v>
      </c>
      <c r="E11">
        <f>COUNTIF(H11:AB11, "&gt;0")</f>
        <v>0</v>
      </c>
      <c r="F11">
        <f>COUNTIF(H11:AB11, "=0")</f>
        <v>0</v>
      </c>
      <c r="G11">
        <f>COUNTIF(H11:AB11, "&lt;0")</f>
        <v>2</v>
      </c>
      <c r="H11" s="18">
        <v>-18.600000000000001</v>
      </c>
      <c r="I11" s="18">
        <v>-1.5</v>
      </c>
    </row>
    <row r="12" spans="1:11" x14ac:dyDescent="0.25">
      <c r="A12" s="6" t="s">
        <v>140</v>
      </c>
      <c r="B12">
        <f>SUM(H12:AB12)</f>
        <v>5.9</v>
      </c>
      <c r="C12">
        <f>(B12/$C$1)*100</f>
        <v>1.1800000000000002</v>
      </c>
      <c r="D12">
        <f>COUNTA(H12:AB12)</f>
        <v>2</v>
      </c>
      <c r="E12">
        <f>COUNTIF(H12:AB12, "&gt;0")</f>
        <v>2</v>
      </c>
      <c r="F12">
        <f>COUNTIF(H12:AB12, "=0")</f>
        <v>0</v>
      </c>
      <c r="G12">
        <f>COUNTIF(H12:AB12, "&lt;0")</f>
        <v>0</v>
      </c>
      <c r="H12" s="17">
        <v>3.4</v>
      </c>
      <c r="I12" s="17">
        <v>2.5</v>
      </c>
      <c r="J12" s="15"/>
    </row>
    <row r="13" spans="1:11" x14ac:dyDescent="0.25">
      <c r="A13" s="6" t="s">
        <v>141</v>
      </c>
      <c r="B13">
        <f>SUM(H13:AB13)</f>
        <v>-20.099999999999998</v>
      </c>
      <c r="C13">
        <f>(B13/$C$1)*100</f>
        <v>-4.0199999999999996</v>
      </c>
      <c r="D13">
        <f>COUNTA(H13:AB13)</f>
        <v>2</v>
      </c>
      <c r="E13">
        <f>COUNTIF(H13:AB13, "&gt;0")</f>
        <v>0</v>
      </c>
      <c r="F13">
        <f>COUNTIF(H13:AB13, "=0")</f>
        <v>0</v>
      </c>
      <c r="G13">
        <f>COUNTIF(H13:AB13, "&lt;0")</f>
        <v>2</v>
      </c>
      <c r="H13" s="11">
        <v>-18.899999999999999</v>
      </c>
      <c r="I13" s="18">
        <v>-1.2</v>
      </c>
    </row>
    <row r="14" spans="1:11" x14ac:dyDescent="0.25">
      <c r="A14" t="s">
        <v>138</v>
      </c>
      <c r="B14">
        <f>SUM(H14:AB14)</f>
        <v>-1</v>
      </c>
      <c r="C14">
        <f>(B14/$C$1)*100</f>
        <v>-0.2</v>
      </c>
      <c r="D14">
        <f>COUNTA(H14:AB14)</f>
        <v>1</v>
      </c>
      <c r="E14">
        <f>COUNTIF(H14:AB14, "&gt;0")</f>
        <v>0</v>
      </c>
      <c r="F14">
        <f>COUNTIF(H14:AB14, "=0")</f>
        <v>0</v>
      </c>
      <c r="G14">
        <f>COUNTIF(H14:AB14, "&lt;0")</f>
        <v>1</v>
      </c>
      <c r="H14" s="17">
        <v>-1</v>
      </c>
    </row>
    <row r="15" spans="1:11" x14ac:dyDescent="0.25">
      <c r="A15" s="8" t="s">
        <v>129</v>
      </c>
      <c r="B15">
        <f>SUM(H15:AB15)</f>
        <v>5.8</v>
      </c>
      <c r="C15">
        <f>(B15/$C$1)*100</f>
        <v>1.1599999999999999</v>
      </c>
      <c r="D15">
        <f>COUNTA(H15:AB15)</f>
        <v>1</v>
      </c>
      <c r="E15">
        <f>COUNTIF(H15:AB15, "&gt;0")</f>
        <v>1</v>
      </c>
      <c r="F15">
        <f>COUNTIF(H15:AB15, "=0")</f>
        <v>0</v>
      </c>
      <c r="G15">
        <f>COUNTIF(H15:AB15, "&lt;0")</f>
        <v>0</v>
      </c>
      <c r="H15" s="18">
        <v>5.8</v>
      </c>
    </row>
    <row r="16" spans="1:11" x14ac:dyDescent="0.25">
      <c r="A16" t="s">
        <v>136</v>
      </c>
      <c r="B16">
        <f>SUM(H16:AB16)</f>
        <v>17.8</v>
      </c>
      <c r="C16">
        <f>(B16/$C$1)*100</f>
        <v>3.56</v>
      </c>
      <c r="D16">
        <f>COUNTA(H16:AB16)</f>
        <v>1</v>
      </c>
      <c r="E16">
        <f>COUNTIF(H16:AB16, "&gt;0")</f>
        <v>1</v>
      </c>
      <c r="F16">
        <f>COUNTIF(H16:AB16, "=0")</f>
        <v>0</v>
      </c>
      <c r="G16">
        <f>COUNTIF(H16:AB16, "&lt;0")</f>
        <v>0</v>
      </c>
      <c r="H16" s="18">
        <v>17.8</v>
      </c>
    </row>
    <row r="17" spans="1:10" x14ac:dyDescent="0.25">
      <c r="A17" s="8" t="s">
        <v>134</v>
      </c>
      <c r="B17">
        <f>SUM(H17:AB17)</f>
        <v>-1.8</v>
      </c>
      <c r="C17">
        <f>(B17/$C$1)*100</f>
        <v>-0.36</v>
      </c>
      <c r="D17">
        <f>COUNTA(H17:AB17)</f>
        <v>1</v>
      </c>
      <c r="E17">
        <f>COUNTIF(H17:AB17, "&gt;0")</f>
        <v>0</v>
      </c>
      <c r="F17">
        <f>COUNTIF(H17:AB17, "=0")</f>
        <v>0</v>
      </c>
      <c r="G17">
        <f>COUNTIF(H17:AB17, "&lt;0")</f>
        <v>1</v>
      </c>
      <c r="H17" s="17">
        <v>-1.8</v>
      </c>
    </row>
    <row r="18" spans="1:10" x14ac:dyDescent="0.25">
      <c r="A18" s="8" t="s">
        <v>127</v>
      </c>
      <c r="B18">
        <f>SUM(H18:AB18)</f>
        <v>-4.7</v>
      </c>
      <c r="C18">
        <f>(B18/$C$1)*100</f>
        <v>-0.94000000000000006</v>
      </c>
      <c r="D18">
        <f>COUNTA(H18:AB18)</f>
        <v>1</v>
      </c>
      <c r="E18">
        <f>COUNTIF(H18:AB18, "&gt;0")</f>
        <v>0</v>
      </c>
      <c r="F18">
        <f>COUNTIF(H18:AB18, "=0")</f>
        <v>0</v>
      </c>
      <c r="G18">
        <f>COUNTIF(H18:AB18, "&lt;0")</f>
        <v>1</v>
      </c>
      <c r="H18" s="17">
        <v>-4.7</v>
      </c>
      <c r="I18" s="15"/>
      <c r="J18" s="15"/>
    </row>
    <row r="19" spans="1:10" x14ac:dyDescent="0.25">
      <c r="A19" s="8" t="s">
        <v>88</v>
      </c>
      <c r="B19">
        <f>SUM(H19:AB19)</f>
        <v>-0.6</v>
      </c>
      <c r="C19">
        <f>(B19/$C$1)*100</f>
        <v>-0.12</v>
      </c>
      <c r="D19">
        <f>COUNTA(H19:AB19)</f>
        <v>1</v>
      </c>
      <c r="E19">
        <f>COUNTIF(H19:AB19, "&gt;0")</f>
        <v>0</v>
      </c>
      <c r="F19">
        <f>COUNTIF(H19:AB19, "=0")</f>
        <v>0</v>
      </c>
      <c r="G19">
        <f>COUNTIF(H19:AB19, "&lt;0")</f>
        <v>1</v>
      </c>
      <c r="H19" s="17">
        <v>-0.6</v>
      </c>
    </row>
    <row r="20" spans="1:10" x14ac:dyDescent="0.25">
      <c r="A20" t="s">
        <v>95</v>
      </c>
      <c r="B20">
        <f>SUM(H20:AB20)</f>
        <v>-2.2000000000000002</v>
      </c>
      <c r="C20">
        <f>(B20/$C$1)*100</f>
        <v>-0.44</v>
      </c>
      <c r="D20">
        <f>COUNTA(H20:AB20)</f>
        <v>1</v>
      </c>
      <c r="E20">
        <f>COUNTIF(H20:AB20, "&gt;0")</f>
        <v>0</v>
      </c>
      <c r="F20">
        <f>COUNTIF(H20:AB20, "=0")</f>
        <v>0</v>
      </c>
      <c r="G20">
        <f>COUNTIF(H20:AB20, "&lt;0")</f>
        <v>1</v>
      </c>
      <c r="H20" s="18">
        <v>-2.2000000000000002</v>
      </c>
    </row>
    <row r="21" spans="1:10" x14ac:dyDescent="0.25">
      <c r="A21" t="s">
        <v>61</v>
      </c>
      <c r="B21">
        <f>SUM(H21:AB21)</f>
        <v>-3.7</v>
      </c>
      <c r="C21">
        <f>(B21/$C$1)*100</f>
        <v>-0.74</v>
      </c>
      <c r="D21">
        <f>COUNTA(H21:AB21)</f>
        <v>1</v>
      </c>
      <c r="E21">
        <f>COUNTIF(H21:AB21, "&gt;0")</f>
        <v>0</v>
      </c>
      <c r="F21">
        <f>COUNTIF(H21:AB21, "=0")</f>
        <v>0</v>
      </c>
      <c r="G21">
        <f>COUNTIF(H21:AB21, "&lt;0")</f>
        <v>1</v>
      </c>
      <c r="H21" s="18">
        <v>-3.7</v>
      </c>
    </row>
    <row r="22" spans="1:10" x14ac:dyDescent="0.25">
      <c r="A22" t="s">
        <v>64</v>
      </c>
      <c r="B22">
        <f>SUM(H22:AB22)</f>
        <v>-2.1</v>
      </c>
      <c r="C22">
        <f>(B22/$C$1)*100</f>
        <v>-0.42000000000000004</v>
      </c>
      <c r="D22">
        <f>COUNTA(H22:AB22)</f>
        <v>1</v>
      </c>
      <c r="E22">
        <f>COUNTIF(H22:AB22, "&gt;0")</f>
        <v>0</v>
      </c>
      <c r="F22">
        <f>COUNTIF(H22:AB22, "=0")</f>
        <v>0</v>
      </c>
      <c r="G22">
        <f>COUNTIF(H22:AB22, "&lt;0")</f>
        <v>1</v>
      </c>
      <c r="H22" s="18">
        <v>-2.1</v>
      </c>
    </row>
    <row r="23" spans="1:10" x14ac:dyDescent="0.25">
      <c r="A23" t="s">
        <v>60</v>
      </c>
      <c r="B23">
        <f>SUM(H23:AB23)</f>
        <v>-0.3</v>
      </c>
      <c r="C23">
        <f>(B23/$C$1)*100</f>
        <v>-0.06</v>
      </c>
      <c r="D23">
        <f>COUNTA(H23:AB23)</f>
        <v>1</v>
      </c>
      <c r="E23">
        <f>COUNTIF(H23:AB23, "&gt;0")</f>
        <v>0</v>
      </c>
      <c r="F23">
        <f>COUNTIF(H23:AB23, "=0")</f>
        <v>0</v>
      </c>
      <c r="G23">
        <f>COUNTIF(H23:AB23, "&lt;0")</f>
        <v>1</v>
      </c>
      <c r="H23" s="18">
        <v>-0.3</v>
      </c>
    </row>
    <row r="24" spans="1:10" x14ac:dyDescent="0.25">
      <c r="A24" t="s">
        <v>81</v>
      </c>
      <c r="B24">
        <f>SUM(H24:AB24)</f>
        <v>-12.4</v>
      </c>
      <c r="C24">
        <f>(B24/$C$1)*100</f>
        <v>-2.48</v>
      </c>
      <c r="D24">
        <f>COUNTA(H24:AB24)</f>
        <v>1</v>
      </c>
      <c r="E24">
        <f>COUNTIF(H24:AB24, "&gt;0")</f>
        <v>0</v>
      </c>
      <c r="F24">
        <f>COUNTIF(H24:AB24, "=0")</f>
        <v>0</v>
      </c>
      <c r="G24">
        <f>COUNTIF(H24:AB24, "&lt;0")</f>
        <v>1</v>
      </c>
      <c r="H24" s="18">
        <v>-12.4</v>
      </c>
    </row>
    <row r="25" spans="1:10" x14ac:dyDescent="0.25">
      <c r="A25" s="8" t="s">
        <v>80</v>
      </c>
      <c r="B25">
        <f>SUM(H25:AB25)</f>
        <v>-0.1</v>
      </c>
      <c r="C25">
        <f>(B25/$C$1)*100</f>
        <v>-0.02</v>
      </c>
      <c r="D25">
        <f>COUNTA(H25:AB25)</f>
        <v>1</v>
      </c>
      <c r="E25">
        <f>COUNTIF(H25:AB25, "&gt;0")</f>
        <v>0</v>
      </c>
      <c r="F25">
        <f>COUNTIF(H25:AB25, "=0")</f>
        <v>0</v>
      </c>
      <c r="G25">
        <f>COUNTIF(H25:AB25, "&lt;0")</f>
        <v>1</v>
      </c>
      <c r="H25" s="18">
        <v>-0.1</v>
      </c>
    </row>
    <row r="26" spans="1:10" x14ac:dyDescent="0.25">
      <c r="A26" s="8" t="s">
        <v>68</v>
      </c>
      <c r="B26">
        <f>SUM(H26:AB26)</f>
        <v>-0.7</v>
      </c>
      <c r="C26">
        <f>(B26/$C$1)*100</f>
        <v>-0.13999999999999999</v>
      </c>
      <c r="D26">
        <f>COUNTA(H26:AB26)</f>
        <v>1</v>
      </c>
      <c r="E26">
        <f>COUNTIF(H26:AB26, "&gt;0")</f>
        <v>0</v>
      </c>
      <c r="F26">
        <f>COUNTIF(H26:AB26, "=0")</f>
        <v>0</v>
      </c>
      <c r="G26">
        <f>COUNTIF(H26:AB26, "&lt;0")</f>
        <v>1</v>
      </c>
      <c r="H26" s="18">
        <v>-0.7</v>
      </c>
    </row>
    <row r="27" spans="1:10" x14ac:dyDescent="0.25">
      <c r="A27" t="s">
        <v>97</v>
      </c>
      <c r="B27">
        <f>SUM(H27:AB27)</f>
        <v>-1.9</v>
      </c>
      <c r="C27">
        <f>(B27/$C$1)*100</f>
        <v>-0.38</v>
      </c>
      <c r="D27">
        <f>COUNTA(H27:AB27)</f>
        <v>1</v>
      </c>
      <c r="E27">
        <f>COUNTIF(H27:AB27, "&gt;0")</f>
        <v>0</v>
      </c>
      <c r="F27">
        <f>COUNTIF(H27:AB27, "=0")</f>
        <v>0</v>
      </c>
      <c r="G27">
        <f>COUNTIF(H27:AB27, "&lt;0")</f>
        <v>1</v>
      </c>
      <c r="H27" s="18">
        <v>-1.9</v>
      </c>
    </row>
    <row r="28" spans="1:10" x14ac:dyDescent="0.25">
      <c r="A28" s="6" t="s">
        <v>142</v>
      </c>
      <c r="B28">
        <f>SUM(H28:AB28)</f>
        <v>0.9</v>
      </c>
      <c r="C28">
        <f>(B28/$C$1)*100</f>
        <v>0.18</v>
      </c>
      <c r="D28">
        <f>COUNTA(H28:AB28)</f>
        <v>1</v>
      </c>
      <c r="E28">
        <f>COUNTIF(H28:AB28, "&gt;0")</f>
        <v>1</v>
      </c>
      <c r="F28">
        <f>COUNTIF(H28:AB28, "=0")</f>
        <v>0</v>
      </c>
      <c r="G28">
        <f>COUNTIF(H28:AB28, "&lt;0")</f>
        <v>0</v>
      </c>
      <c r="H28" s="18">
        <v>0.9</v>
      </c>
    </row>
    <row r="29" spans="1:10" x14ac:dyDescent="0.25">
      <c r="A29" s="6" t="s">
        <v>143</v>
      </c>
      <c r="B29">
        <f>SUM(H29:AB29)</f>
        <v>-4.3</v>
      </c>
      <c r="C29">
        <f>(B29/$C$1)*100</f>
        <v>-0.86</v>
      </c>
      <c r="D29">
        <f>COUNTA(H29:AB29)</f>
        <v>1</v>
      </c>
      <c r="E29">
        <f>COUNTIF(H29:AB29, "&gt;0")</f>
        <v>0</v>
      </c>
      <c r="F29">
        <f>COUNTIF(H29:AB29, "=0")</f>
        <v>0</v>
      </c>
      <c r="G29">
        <f>COUNTIF(H29:AB29, "&lt;0")</f>
        <v>1</v>
      </c>
      <c r="H29" s="18">
        <v>-4.3</v>
      </c>
    </row>
    <row r="30" spans="1:10" x14ac:dyDescent="0.25">
      <c r="A30" s="6" t="s">
        <v>144</v>
      </c>
      <c r="B30">
        <f>SUM(H30:AB30)</f>
        <v>0.5</v>
      </c>
      <c r="C30">
        <f>(B30/$C$1)*100</f>
        <v>0.1</v>
      </c>
      <c r="D30">
        <f>COUNTA(H30:AB30)</f>
        <v>1</v>
      </c>
      <c r="E30">
        <f>COUNTIF(H30:AB30, "&gt;0")</f>
        <v>1</v>
      </c>
      <c r="F30">
        <f>COUNTIF(H30:AB30, "=0")</f>
        <v>0</v>
      </c>
      <c r="G30">
        <f>COUNTIF(H30:AB30, "&lt;0")</f>
        <v>0</v>
      </c>
      <c r="H30" s="18">
        <v>0.5</v>
      </c>
    </row>
    <row r="31" spans="1:10" x14ac:dyDescent="0.25">
      <c r="A31" t="s">
        <v>58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</row>
    <row r="32" spans="1:10" x14ac:dyDescent="0.25">
      <c r="A32" t="s">
        <v>57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  <c r="H32" s="15"/>
    </row>
    <row r="33" spans="1:11" x14ac:dyDescent="0.25">
      <c r="A33" s="8" t="s">
        <v>135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</row>
    <row r="34" spans="1:11" x14ac:dyDescent="0.25">
      <c r="A34" t="s">
        <v>87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</row>
    <row r="35" spans="1:11" x14ac:dyDescent="0.25">
      <c r="A35" t="s">
        <v>137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</row>
    <row r="36" spans="1:11" x14ac:dyDescent="0.25">
      <c r="A36" s="8" t="s">
        <v>128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</row>
    <row r="37" spans="1:11" x14ac:dyDescent="0.25">
      <c r="A37" t="s">
        <v>67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5"/>
      <c r="I37" s="15"/>
    </row>
    <row r="38" spans="1:11" x14ac:dyDescent="0.25">
      <c r="A38" t="s">
        <v>86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5"/>
      <c r="I38" s="15"/>
      <c r="J38" s="15"/>
      <c r="K38" s="15"/>
    </row>
    <row r="39" spans="1:11" x14ac:dyDescent="0.25">
      <c r="A39" t="s">
        <v>72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</row>
    <row r="40" spans="1:11" x14ac:dyDescent="0.25">
      <c r="A40" t="s">
        <v>85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</row>
    <row r="41" spans="1:11" x14ac:dyDescent="0.25">
      <c r="A41" s="8" t="s">
        <v>130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</row>
    <row r="42" spans="1:11" x14ac:dyDescent="0.25">
      <c r="A42" t="s">
        <v>69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5"/>
    </row>
    <row r="43" spans="1:11" x14ac:dyDescent="0.25">
      <c r="A43" s="8" t="s">
        <v>54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5"/>
    </row>
    <row r="44" spans="1:11" x14ac:dyDescent="0.25">
      <c r="A44" t="s">
        <v>73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</row>
    <row r="45" spans="1:11" x14ac:dyDescent="0.25">
      <c r="A45" t="s">
        <v>91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  <c r="H45" s="15"/>
    </row>
    <row r="46" spans="1:11" x14ac:dyDescent="0.25">
      <c r="A46" t="s">
        <v>76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1" x14ac:dyDescent="0.25">
      <c r="A47" t="s">
        <v>63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11" x14ac:dyDescent="0.25">
      <c r="A48" t="s">
        <v>75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</row>
    <row r="49" spans="1:9" x14ac:dyDescent="0.25">
      <c r="A49" t="s">
        <v>92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</row>
    <row r="50" spans="1:9" x14ac:dyDescent="0.25">
      <c r="A50" t="s">
        <v>90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5"/>
      <c r="I50" s="15"/>
    </row>
    <row r="51" spans="1:9" x14ac:dyDescent="0.25">
      <c r="A51" t="s">
        <v>93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</row>
    <row r="52" spans="1:9" x14ac:dyDescent="0.25">
      <c r="A52" t="s">
        <v>59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</row>
    <row r="53" spans="1:9" x14ac:dyDescent="0.25">
      <c r="A53" s="8" t="s">
        <v>89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9" x14ac:dyDescent="0.25">
      <c r="A54" s="8" t="s">
        <v>74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</row>
    <row r="55" spans="1:9" x14ac:dyDescent="0.25">
      <c r="A55" t="s">
        <v>62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</row>
    <row r="56" spans="1:9" x14ac:dyDescent="0.25">
      <c r="A56" t="s">
        <v>55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</row>
    <row r="57" spans="1:9" x14ac:dyDescent="0.25">
      <c r="A57" s="8" t="s">
        <v>70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  <c r="H57" s="15"/>
      <c r="I57" s="15"/>
    </row>
    <row r="58" spans="1:9" x14ac:dyDescent="0.25">
      <c r="A58" t="s">
        <v>83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  <c r="I58" s="15"/>
    </row>
    <row r="59" spans="1:9" x14ac:dyDescent="0.25">
      <c r="A59" s="8" t="s">
        <v>71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  <c r="I59" s="15"/>
    </row>
    <row r="60" spans="1:9" x14ac:dyDescent="0.25">
      <c r="A60" s="8" t="s">
        <v>82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  <c r="H60" s="15"/>
    </row>
    <row r="61" spans="1:9" x14ac:dyDescent="0.25">
      <c r="A61" t="s">
        <v>98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</row>
    <row r="62" spans="1:9" x14ac:dyDescent="0.25">
      <c r="A62" t="s">
        <v>99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  <c r="H62" s="15"/>
    </row>
    <row r="63" spans="1:9" x14ac:dyDescent="0.25">
      <c r="A63" s="8"/>
      <c r="B63">
        <f t="shared" ref="B58:B66" si="0">SUM(H63:AB63)</f>
        <v>0</v>
      </c>
      <c r="C63">
        <f t="shared" ref="C58:C66" si="1">(B63/$C$1)*100</f>
        <v>0</v>
      </c>
      <c r="D63">
        <f t="shared" ref="D58:D66" si="2">COUNTA(H63:AB63)</f>
        <v>0</v>
      </c>
      <c r="E63">
        <f t="shared" ref="E58:E66" si="3">COUNTIF(H63:AB63, "&gt;0")</f>
        <v>0</v>
      </c>
      <c r="F63">
        <f t="shared" ref="F58:F66" si="4">COUNTIF(H63:AB63, "=0")</f>
        <v>0</v>
      </c>
      <c r="G63">
        <f t="shared" ref="G58:G66" si="5">COUNTIF(H63:AB63, "&lt;0")</f>
        <v>0</v>
      </c>
      <c r="H63" s="15"/>
      <c r="I63" s="15"/>
    </row>
    <row r="64" spans="1:9" x14ac:dyDescent="0.25">
      <c r="A64" s="8"/>
      <c r="B64">
        <f t="shared" si="0"/>
        <v>0</v>
      </c>
      <c r="C64">
        <f t="shared" si="1"/>
        <v>0</v>
      </c>
      <c r="D64">
        <f t="shared" si="2"/>
        <v>0</v>
      </c>
      <c r="E64">
        <f t="shared" si="3"/>
        <v>0</v>
      </c>
      <c r="F64">
        <f t="shared" si="4"/>
        <v>0</v>
      </c>
      <c r="G64">
        <f t="shared" si="5"/>
        <v>0</v>
      </c>
    </row>
    <row r="65" spans="1:10" x14ac:dyDescent="0.25">
      <c r="A65" s="8"/>
      <c r="B65">
        <f t="shared" si="0"/>
        <v>0</v>
      </c>
      <c r="C65">
        <f t="shared" si="1"/>
        <v>0</v>
      </c>
      <c r="D65">
        <f t="shared" si="2"/>
        <v>0</v>
      </c>
      <c r="E65">
        <f t="shared" si="3"/>
        <v>0</v>
      </c>
      <c r="F65">
        <f t="shared" si="4"/>
        <v>0</v>
      </c>
      <c r="G65">
        <f t="shared" si="5"/>
        <v>0</v>
      </c>
    </row>
    <row r="66" spans="1:10" x14ac:dyDescent="0.25">
      <c r="A66" s="8"/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F66">
        <f t="shared" si="4"/>
        <v>0</v>
      </c>
      <c r="G66">
        <f t="shared" si="5"/>
        <v>0</v>
      </c>
      <c r="H66" s="15"/>
    </row>
    <row r="67" spans="1:10" x14ac:dyDescent="0.25">
      <c r="A67" s="8"/>
      <c r="B67">
        <f t="shared" ref="B67:B75" si="6">SUM(H67:AB67)</f>
        <v>0</v>
      </c>
      <c r="C67">
        <f t="shared" ref="C67:C75" si="7">(B67/$C$1)*100</f>
        <v>0</v>
      </c>
      <c r="D67">
        <f t="shared" ref="D67:D75" si="8">COUNTA(H67:AB67)</f>
        <v>0</v>
      </c>
      <c r="E67">
        <f t="shared" ref="E67:E75" si="9">COUNTIF(H67:AB67, "&gt;0")</f>
        <v>0</v>
      </c>
      <c r="F67">
        <f t="shared" ref="F67:F75" si="10">COUNTIF(H67:AB67, "=0")</f>
        <v>0</v>
      </c>
      <c r="G67">
        <f t="shared" ref="G67:G75" si="11">COUNTIF(H67:AB67, "&lt;0")</f>
        <v>0</v>
      </c>
      <c r="H67" s="15"/>
    </row>
    <row r="68" spans="1:10" x14ac:dyDescent="0.25">
      <c r="A68" s="8"/>
      <c r="B68">
        <f t="shared" si="6"/>
        <v>0</v>
      </c>
      <c r="C68">
        <f t="shared" si="7"/>
        <v>0</v>
      </c>
      <c r="D68">
        <f t="shared" si="8"/>
        <v>0</v>
      </c>
      <c r="E68">
        <f t="shared" si="9"/>
        <v>0</v>
      </c>
      <c r="F68">
        <f t="shared" si="10"/>
        <v>0</v>
      </c>
      <c r="G68">
        <f t="shared" si="11"/>
        <v>0</v>
      </c>
      <c r="I68" s="15"/>
    </row>
    <row r="69" spans="1:10" x14ac:dyDescent="0.25">
      <c r="A69" s="8"/>
      <c r="B69">
        <f t="shared" si="6"/>
        <v>0</v>
      </c>
      <c r="C69">
        <f t="shared" si="7"/>
        <v>0</v>
      </c>
      <c r="D69">
        <f t="shared" si="8"/>
        <v>0</v>
      </c>
      <c r="E69">
        <f t="shared" si="9"/>
        <v>0</v>
      </c>
      <c r="F69">
        <f t="shared" si="10"/>
        <v>0</v>
      </c>
      <c r="G69">
        <f t="shared" si="11"/>
        <v>0</v>
      </c>
      <c r="I69" s="15"/>
    </row>
    <row r="70" spans="1:10" x14ac:dyDescent="0.25">
      <c r="A70" s="8"/>
      <c r="B70">
        <f t="shared" si="6"/>
        <v>0</v>
      </c>
      <c r="C70">
        <f t="shared" si="7"/>
        <v>0</v>
      </c>
      <c r="D70">
        <f t="shared" si="8"/>
        <v>0</v>
      </c>
      <c r="E70">
        <f t="shared" si="9"/>
        <v>0</v>
      </c>
      <c r="F70">
        <f t="shared" si="10"/>
        <v>0</v>
      </c>
      <c r="G70">
        <f t="shared" si="11"/>
        <v>0</v>
      </c>
    </row>
    <row r="71" spans="1:10" x14ac:dyDescent="0.25">
      <c r="A71" s="8"/>
      <c r="B71">
        <f t="shared" si="6"/>
        <v>0</v>
      </c>
      <c r="C71">
        <f t="shared" si="7"/>
        <v>0</v>
      </c>
      <c r="D71">
        <f t="shared" si="8"/>
        <v>0</v>
      </c>
      <c r="E71">
        <f t="shared" si="9"/>
        <v>0</v>
      </c>
      <c r="F71">
        <f t="shared" si="10"/>
        <v>0</v>
      </c>
      <c r="G71">
        <f t="shared" si="11"/>
        <v>0</v>
      </c>
      <c r="H71" s="15"/>
      <c r="I71" s="15"/>
      <c r="J71" s="15"/>
    </row>
    <row r="72" spans="1:10" x14ac:dyDescent="0.25">
      <c r="A72" s="8"/>
      <c r="B72">
        <f t="shared" si="6"/>
        <v>0</v>
      </c>
      <c r="C72">
        <f t="shared" si="7"/>
        <v>0</v>
      </c>
      <c r="D72">
        <f t="shared" si="8"/>
        <v>0</v>
      </c>
      <c r="E72">
        <f t="shared" si="9"/>
        <v>0</v>
      </c>
      <c r="F72">
        <f t="shared" si="10"/>
        <v>0</v>
      </c>
      <c r="G72">
        <f t="shared" si="11"/>
        <v>0</v>
      </c>
      <c r="H72" s="15"/>
      <c r="I72" s="15"/>
      <c r="J72" s="15"/>
    </row>
    <row r="73" spans="1:10" x14ac:dyDescent="0.25">
      <c r="A73" s="8"/>
      <c r="B73">
        <f t="shared" si="6"/>
        <v>0</v>
      </c>
      <c r="C73">
        <f t="shared" si="7"/>
        <v>0</v>
      </c>
      <c r="D73">
        <f t="shared" si="8"/>
        <v>0</v>
      </c>
      <c r="E73">
        <f t="shared" si="9"/>
        <v>0</v>
      </c>
      <c r="F73">
        <f t="shared" si="10"/>
        <v>0</v>
      </c>
      <c r="G73">
        <f t="shared" si="11"/>
        <v>0</v>
      </c>
    </row>
    <row r="74" spans="1:10" x14ac:dyDescent="0.25">
      <c r="A74" s="8"/>
      <c r="B74">
        <f t="shared" si="6"/>
        <v>0</v>
      </c>
      <c r="C74">
        <f t="shared" si="7"/>
        <v>0</v>
      </c>
      <c r="D74">
        <f t="shared" si="8"/>
        <v>0</v>
      </c>
      <c r="E74">
        <f t="shared" si="9"/>
        <v>0</v>
      </c>
      <c r="F74">
        <f t="shared" si="10"/>
        <v>0</v>
      </c>
      <c r="G74">
        <f t="shared" si="11"/>
        <v>0</v>
      </c>
      <c r="H74" s="15"/>
    </row>
    <row r="75" spans="1:10" x14ac:dyDescent="0.25">
      <c r="A75" s="8"/>
      <c r="B75">
        <f t="shared" si="6"/>
        <v>0</v>
      </c>
      <c r="C75">
        <f t="shared" si="7"/>
        <v>0</v>
      </c>
      <c r="D75">
        <f t="shared" si="8"/>
        <v>0</v>
      </c>
      <c r="E75">
        <f t="shared" si="9"/>
        <v>0</v>
      </c>
      <c r="F75">
        <f t="shared" si="10"/>
        <v>0</v>
      </c>
      <c r="G75">
        <f t="shared" si="11"/>
        <v>0</v>
      </c>
      <c r="H75" s="15"/>
    </row>
  </sheetData>
  <sortState xmlns:xlrd2="http://schemas.microsoft.com/office/spreadsheetml/2017/richdata2" ref="A3:AB62">
    <sortCondition descending="1" ref="D3:D62"/>
  </sortState>
  <conditionalFormatting sqref="A3:A57">
    <cfRule type="containsText" dxfId="0" priority="1" operator="containsText" text="LEG">
      <formula>NOT(ISERROR(SEARCH("LEG",A3)))</formula>
    </cfRule>
    <cfRule type="containsText" dxfId="1" priority="2" operator="containsText" text="VEG">
      <formula>NOT(ISERROR(SEARCH("VEG",A3)))</formula>
    </cfRule>
    <cfRule type="containsText" dxfId="2" priority="3" operator="containsText" text="VEG">
      <formula>NOT(ISERROR(SEARCH("VEG",A3)))</formula>
    </cfRule>
    <cfRule type="containsText" dxfId="3" priority="4" operator="containsText" text="WEG">
      <formula>NOT(ISERROR(SEARCH("WEG",A3)))</formula>
    </cfRule>
    <cfRule type="containsText" dxfId="4" priority="5" operator="containsText" text="UEG">
      <formula>NOT(ISERROR(SEARCH("UEG",A3)))</formula>
    </cfRule>
    <cfRule type="containsText" dxfId="5" priority="6" operator="containsText" text="SEG">
      <formula>NOT(ISERROR(SEARCH("SEG",A3)))</formula>
    </cfRule>
    <cfRule type="containsText" dxfId="6" priority="7" operator="containsText" text="PEG">
      <formula>NOT(ISERROR(SEARCH("PEG",A3)))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2026-10-05T20:20:48Z</dcterms:modified>
</cp:coreProperties>
</file>