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EE45F690-3B35-4CB0-9986-731FB61E0F3F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Тикеры" sheetId="1" r:id="rId1"/>
    <sheet name="СтатПоТипу" sheetId="6" r:id="rId2"/>
    <sheet name="Результаты" sheetId="4" r:id="rId3"/>
    <sheet name="СумматорСегодня" sheetId="5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2" i="4"/>
  <c r="O65" i="4"/>
  <c r="O63" i="4"/>
  <c r="O61" i="4"/>
  <c r="O60" i="4"/>
  <c r="O59" i="4"/>
  <c r="P58" i="4"/>
  <c r="O58" i="4"/>
  <c r="O57" i="4"/>
  <c r="O55" i="4"/>
  <c r="P54" i="4"/>
  <c r="R53" i="4"/>
  <c r="O53" i="4"/>
  <c r="P52" i="4"/>
  <c r="O51" i="4"/>
  <c r="R49" i="4"/>
  <c r="O49" i="4"/>
  <c r="P48" i="4"/>
  <c r="O48" i="4"/>
  <c r="R47" i="4"/>
  <c r="O47" i="4"/>
  <c r="O46" i="4"/>
  <c r="P45" i="4"/>
  <c r="O45" i="4"/>
  <c r="O43" i="4"/>
  <c r="Q42" i="4"/>
  <c r="R41" i="4"/>
  <c r="O41" i="4"/>
  <c r="P40" i="4"/>
  <c r="R39" i="4"/>
  <c r="O39" i="4"/>
  <c r="Q38" i="4"/>
  <c r="O38" i="4"/>
  <c r="O37" i="4"/>
  <c r="P36" i="4"/>
  <c r="O36" i="4"/>
  <c r="R35" i="4"/>
  <c r="O35" i="4"/>
  <c r="P34" i="4"/>
  <c r="O33" i="4"/>
  <c r="P32" i="4"/>
  <c r="O31" i="4"/>
  <c r="Q30" i="4"/>
  <c r="P30" i="4"/>
  <c r="O29" i="4"/>
  <c r="O27" i="4"/>
  <c r="P26" i="4"/>
  <c r="O26" i="4"/>
  <c r="R25" i="4"/>
  <c r="O25" i="4"/>
  <c r="S24" i="4"/>
  <c r="Q24" i="4"/>
  <c r="P24" i="4"/>
  <c r="O24" i="4"/>
  <c r="O23" i="4"/>
  <c r="P22" i="4"/>
  <c r="R21" i="4"/>
  <c r="O21" i="4"/>
  <c r="R19" i="4"/>
  <c r="O19" i="4"/>
  <c r="Q18" i="4"/>
  <c r="R17" i="4"/>
  <c r="O17" i="4"/>
  <c r="R16" i="4"/>
  <c r="R15" i="4"/>
  <c r="P14" i="4"/>
  <c r="O14" i="4"/>
  <c r="R13" i="4"/>
  <c r="O13" i="4"/>
  <c r="R12" i="4"/>
  <c r="O12" i="4"/>
  <c r="R11" i="4"/>
  <c r="O11" i="4"/>
  <c r="R10" i="4"/>
  <c r="Q10" i="4"/>
  <c r="P10" i="4"/>
  <c r="O10" i="4"/>
  <c r="O9" i="4"/>
  <c r="Q8" i="4"/>
  <c r="P8" i="4"/>
  <c r="S7" i="4"/>
  <c r="R7" i="4"/>
  <c r="O7" i="4"/>
  <c r="Q6" i="4"/>
  <c r="P6" i="4"/>
  <c r="R5" i="4"/>
  <c r="O5" i="4"/>
  <c r="Q4" i="4"/>
  <c r="P4" i="4"/>
  <c r="R2" i="4"/>
  <c r="P2" i="4"/>
  <c r="N64" i="4"/>
  <c r="N62" i="4"/>
  <c r="N56" i="4"/>
  <c r="N54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S12" i="4"/>
  <c r="P11" i="4"/>
  <c r="P9" i="4"/>
  <c r="N8" i="4"/>
  <c r="P7" i="4"/>
  <c r="N6" i="4"/>
  <c r="P5" i="4"/>
  <c r="R4" i="4"/>
  <c r="N4" i="4"/>
  <c r="P3" i="4"/>
  <c r="N2" i="4"/>
  <c r="S65" i="4"/>
  <c r="Q64" i="4"/>
  <c r="Q60" i="4"/>
  <c r="S59" i="4"/>
  <c r="Q58" i="4"/>
  <c r="Q54" i="4"/>
  <c r="S53" i="4"/>
  <c r="Q52" i="4"/>
  <c r="Q48" i="4"/>
  <c r="S47" i="4"/>
  <c r="Q46" i="4"/>
  <c r="Q44" i="4"/>
  <c r="S43" i="4"/>
  <c r="S37" i="4"/>
  <c r="S36" i="4"/>
  <c r="Q36" i="4"/>
  <c r="S33" i="4"/>
  <c r="Q32" i="4"/>
  <c r="S31" i="4"/>
  <c r="S27" i="4"/>
  <c r="Q26" i="4"/>
  <c r="S25" i="4"/>
  <c r="S23" i="4"/>
  <c r="R22" i="4"/>
  <c r="S21" i="4"/>
  <c r="P21" i="4"/>
  <c r="Q20" i="4"/>
  <c r="P20" i="4"/>
  <c r="S19" i="4"/>
  <c r="P18" i="4"/>
  <c r="S17" i="4"/>
  <c r="S15" i="4"/>
  <c r="Q14" i="4"/>
  <c r="S13" i="4"/>
  <c r="Q12" i="4"/>
  <c r="P12" i="4"/>
  <c r="S11" i="4"/>
  <c r="S9" i="4"/>
  <c r="S5" i="4"/>
  <c r="S3" i="4"/>
  <c r="Q2" i="4"/>
  <c r="J3" i="4"/>
  <c r="K3" i="4"/>
  <c r="J4" i="4"/>
  <c r="K4" i="4"/>
  <c r="J5" i="4"/>
  <c r="K5" i="4"/>
  <c r="J6" i="4"/>
  <c r="K6" i="4"/>
  <c r="J7" i="4"/>
  <c r="K7" i="4"/>
  <c r="J8" i="4"/>
  <c r="K8" i="4"/>
  <c r="J9" i="4"/>
  <c r="K9" i="4"/>
  <c r="J10" i="4"/>
  <c r="K10" i="4"/>
  <c r="J11" i="4"/>
  <c r="K11" i="4"/>
  <c r="J12" i="4"/>
  <c r="K12" i="4"/>
  <c r="J13" i="4"/>
  <c r="K13" i="4"/>
  <c r="J14" i="4"/>
  <c r="K14" i="4"/>
  <c r="J15" i="4"/>
  <c r="K15" i="4"/>
  <c r="J16" i="4"/>
  <c r="K16" i="4"/>
  <c r="J17" i="4"/>
  <c r="K17" i="4"/>
  <c r="J18" i="4"/>
  <c r="K18" i="4"/>
  <c r="J19" i="4"/>
  <c r="K19" i="4"/>
  <c r="J20" i="4"/>
  <c r="K20" i="4"/>
  <c r="J21" i="4"/>
  <c r="K21" i="4"/>
  <c r="J22" i="4"/>
  <c r="K22" i="4"/>
  <c r="J23" i="4"/>
  <c r="K23" i="4"/>
  <c r="J24" i="4"/>
  <c r="K24" i="4"/>
  <c r="J25" i="4"/>
  <c r="K25" i="4"/>
  <c r="J26" i="4"/>
  <c r="K26" i="4"/>
  <c r="J27" i="4"/>
  <c r="K27" i="4"/>
  <c r="J28" i="4"/>
  <c r="K28" i="4"/>
  <c r="J29" i="4"/>
  <c r="K29" i="4"/>
  <c r="J30" i="4"/>
  <c r="K30" i="4"/>
  <c r="J31" i="4"/>
  <c r="K31" i="4"/>
  <c r="J32" i="4"/>
  <c r="K32" i="4"/>
  <c r="J33" i="4"/>
  <c r="K33" i="4"/>
  <c r="J34" i="4"/>
  <c r="K34" i="4"/>
  <c r="J35" i="4"/>
  <c r="K35" i="4"/>
  <c r="J36" i="4"/>
  <c r="K36" i="4"/>
  <c r="J37" i="4"/>
  <c r="K37" i="4"/>
  <c r="J38" i="4"/>
  <c r="K38" i="4"/>
  <c r="J39" i="4"/>
  <c r="K39" i="4"/>
  <c r="J40" i="4"/>
  <c r="K40" i="4"/>
  <c r="J41" i="4"/>
  <c r="K41" i="4"/>
  <c r="J42" i="4"/>
  <c r="K42" i="4"/>
  <c r="J43" i="4"/>
  <c r="K43" i="4"/>
  <c r="J44" i="4"/>
  <c r="K44" i="4"/>
  <c r="J45" i="4"/>
  <c r="K45" i="4"/>
  <c r="J46" i="4"/>
  <c r="K46" i="4"/>
  <c r="J47" i="4"/>
  <c r="K47" i="4"/>
  <c r="J48" i="4"/>
  <c r="K48" i="4"/>
  <c r="J49" i="4"/>
  <c r="K49" i="4"/>
  <c r="J50" i="4"/>
  <c r="K50" i="4"/>
  <c r="J51" i="4"/>
  <c r="K51" i="4"/>
  <c r="J52" i="4"/>
  <c r="K52" i="4"/>
  <c r="J53" i="4"/>
  <c r="K53" i="4"/>
  <c r="J54" i="4"/>
  <c r="K54" i="4"/>
  <c r="J55" i="4"/>
  <c r="K55" i="4"/>
  <c r="J56" i="4"/>
  <c r="K56" i="4"/>
  <c r="J57" i="4"/>
  <c r="K57" i="4"/>
  <c r="J58" i="4"/>
  <c r="K58" i="4"/>
  <c r="J59" i="4"/>
  <c r="K59" i="4"/>
  <c r="J60" i="4"/>
  <c r="K60" i="4"/>
  <c r="J61" i="4"/>
  <c r="K61" i="4"/>
  <c r="J62" i="4"/>
  <c r="K62" i="4"/>
  <c r="J63" i="4"/>
  <c r="K63" i="4"/>
  <c r="J64" i="4"/>
  <c r="K64" i="4"/>
  <c r="J65" i="4"/>
  <c r="K65" i="4"/>
  <c r="K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2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S54" i="4"/>
  <c r="S55" i="4"/>
  <c r="S56" i="4"/>
  <c r="S57" i="4"/>
  <c r="S58" i="4"/>
  <c r="S60" i="4"/>
  <c r="S61" i="4"/>
  <c r="S62" i="4"/>
  <c r="S63" i="4"/>
  <c r="S64" i="4"/>
  <c r="Q3" i="4"/>
  <c r="R3" i="4"/>
  <c r="Q5" i="4"/>
  <c r="R6" i="4"/>
  <c r="Q7" i="4"/>
  <c r="R8" i="4"/>
  <c r="Q9" i="4"/>
  <c r="R9" i="4"/>
  <c r="Q11" i="4"/>
  <c r="P13" i="4"/>
  <c r="Q13" i="4"/>
  <c r="R14" i="4"/>
  <c r="Q15" i="4"/>
  <c r="P16" i="4"/>
  <c r="Q16" i="4"/>
  <c r="Q17" i="4"/>
  <c r="R18" i="4"/>
  <c r="Q19" i="4"/>
  <c r="R20" i="4"/>
  <c r="Q21" i="4"/>
  <c r="Q22" i="4"/>
  <c r="Q23" i="4"/>
  <c r="R23" i="4"/>
  <c r="R24" i="4"/>
  <c r="P25" i="4"/>
  <c r="Q25" i="4"/>
  <c r="R26" i="4"/>
  <c r="P27" i="4"/>
  <c r="Q27" i="4"/>
  <c r="R27" i="4"/>
  <c r="P28" i="4"/>
  <c r="Q28" i="4"/>
  <c r="R28" i="4"/>
  <c r="Q29" i="4"/>
  <c r="R29" i="4"/>
  <c r="R30" i="4"/>
  <c r="Q31" i="4"/>
  <c r="R31" i="4"/>
  <c r="R32" i="4"/>
  <c r="P33" i="4"/>
  <c r="Q33" i="4"/>
  <c r="R33" i="4"/>
  <c r="Q34" i="4"/>
  <c r="R34" i="4"/>
  <c r="Q35" i="4"/>
  <c r="R36" i="4"/>
  <c r="Q37" i="4"/>
  <c r="R37" i="4"/>
  <c r="P38" i="4"/>
  <c r="R38" i="4"/>
  <c r="Q39" i="4"/>
  <c r="Q40" i="4"/>
  <c r="R40" i="4"/>
  <c r="Q41" i="4"/>
  <c r="P42" i="4"/>
  <c r="R42" i="4"/>
  <c r="P43" i="4"/>
  <c r="Q43" i="4"/>
  <c r="R43" i="4"/>
  <c r="P44" i="4"/>
  <c r="R44" i="4"/>
  <c r="Q45" i="4"/>
  <c r="R45" i="4"/>
  <c r="P46" i="4"/>
  <c r="R46" i="4"/>
  <c r="Q47" i="4"/>
  <c r="R48" i="4"/>
  <c r="P49" i="4"/>
  <c r="Q49" i="4"/>
  <c r="P50" i="4"/>
  <c r="Q50" i="4"/>
  <c r="R50" i="4"/>
  <c r="P51" i="4"/>
  <c r="Q51" i="4"/>
  <c r="R51" i="4"/>
  <c r="R52" i="4"/>
  <c r="P53" i="4"/>
  <c r="Q53" i="4"/>
  <c r="R54" i="4"/>
  <c r="P55" i="4"/>
  <c r="Q55" i="4"/>
  <c r="R55" i="4"/>
  <c r="P56" i="4"/>
  <c r="Q56" i="4"/>
  <c r="R56" i="4"/>
  <c r="P57" i="4"/>
  <c r="Q57" i="4"/>
  <c r="R57" i="4"/>
  <c r="R58" i="4"/>
  <c r="P59" i="4"/>
  <c r="Q59" i="4"/>
  <c r="R59" i="4"/>
  <c r="P60" i="4"/>
  <c r="R60" i="4"/>
  <c r="P61" i="4"/>
  <c r="Q61" i="4"/>
  <c r="R61" i="4"/>
  <c r="P62" i="4"/>
  <c r="Q62" i="4"/>
  <c r="R62" i="4"/>
  <c r="P63" i="4"/>
  <c r="Q63" i="4"/>
  <c r="R63" i="4"/>
  <c r="P64" i="4"/>
  <c r="R64" i="4"/>
  <c r="P65" i="4"/>
  <c r="Q65" i="4"/>
  <c r="R65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N55" i="4"/>
  <c r="N57" i="4"/>
  <c r="N59" i="4"/>
  <c r="N60" i="4"/>
  <c r="N61" i="4"/>
  <c r="N63" i="4"/>
  <c r="N65" i="4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3" i="5"/>
  <c r="B4" i="5"/>
  <c r="C4" i="5" s="1"/>
  <c r="B5" i="5"/>
  <c r="C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B28" i="5"/>
  <c r="C28" i="5" s="1"/>
  <c r="B29" i="5"/>
  <c r="C29" i="5" s="1"/>
  <c r="B30" i="5"/>
  <c r="C30" i="5" s="1"/>
  <c r="B31" i="5"/>
  <c r="C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B52" i="5"/>
  <c r="C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B59" i="5"/>
  <c r="C59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3" i="5"/>
  <c r="C3" i="5" s="1"/>
  <c r="N3" i="4" l="1"/>
  <c r="N15" i="4"/>
  <c r="O8" i="4"/>
  <c r="O18" i="4"/>
  <c r="O32" i="4"/>
  <c r="O54" i="4"/>
  <c r="O64" i="4"/>
  <c r="N58" i="4"/>
  <c r="N46" i="4"/>
  <c r="N36" i="4"/>
  <c r="N24" i="4"/>
  <c r="N12" i="4"/>
  <c r="O6" i="4"/>
  <c r="O20" i="4"/>
  <c r="O34" i="4"/>
  <c r="O50" i="4"/>
  <c r="N11" i="4"/>
  <c r="O4" i="4"/>
  <c r="O22" i="4"/>
  <c r="O28" i="4"/>
  <c r="O44" i="4"/>
  <c r="O56" i="4"/>
  <c r="O62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</calcChain>
</file>

<file path=xl/sharedStrings.xml><?xml version="1.0" encoding="utf-8"?>
<sst xmlns="http://schemas.openxmlformats.org/spreadsheetml/2006/main" count="230" uniqueCount="148">
  <si>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</si>
  <si>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</si>
  <si>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</si>
  <si>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</si>
  <si>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</si>
  <si>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</si>
  <si>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</si>
  <si>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</si>
  <si>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</si>
  <si>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</si>
  <si>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</si>
  <si>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</si>
  <si>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</si>
  <si>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</si>
  <si>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</si>
  <si>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</si>
  <si>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</si>
  <si>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</si>
  <si>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</si>
  <si>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</si>
  <si>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</si>
  <si>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</si>
  <si>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</si>
  <si>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</si>
  <si>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</si>
  <si>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</si>
  <si>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</si>
  <si>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</si>
  <si>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</si>
  <si>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</si>
  <si>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</si>
  <si>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</si>
  <si>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</si>
  <si>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</si>
  <si>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</si>
  <si>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</si>
  <si>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</si>
  <si>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</si>
  <si>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</si>
  <si>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</si>
  <si>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</si>
  <si>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</si>
  <si>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</si>
  <si>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</si>
  <si>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</si>
  <si>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</si>
  <si>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</si>
  <si>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</si>
  <si>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</si>
  <si>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</si>
  <si>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</si>
  <si>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</si>
  <si>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</si>
  <si>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</si>
  <si>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</si>
  <si>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</si>
  <si>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</si>
  <si>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</si>
  <si>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</si>
  <si>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</si>
  <si>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</si>
  <si>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</si>
  <si>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</si>
  <si>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</si>
  <si>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</si>
  <si>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</si>
  <si>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</si>
  <si>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</si>
  <si>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</si>
  <si>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</si>
  <si>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</si>
  <si>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</si>
  <si>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</si>
  <si>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</si>
  <si>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</si>
  <si>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</si>
  <si>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</si>
  <si>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</si>
  <si>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</si>
  <si>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</si>
  <si>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</si>
  <si>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</si>
  <si>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</si>
  <si>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WEG4_DOG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</si>
  <si>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</si>
  <si>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</si>
  <si>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</si>
  <si>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</si>
  <si>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</si>
  <si>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</si>
  <si>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</si>
  <si>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</si>
  <si>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</si>
  <si>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</si>
  <si>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</si>
  <si>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</si>
  <si>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</si>
  <si>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</si>
  <si>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</si>
  <si>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</si>
  <si>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</si>
  <si>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</si>
  <si>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</si>
  <si>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</si>
  <si>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</si>
  <si>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</si>
  <si>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</si>
  <si>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</si>
  <si>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</si>
  <si>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</si>
  <si>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</si>
  <si>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</si>
  <si>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</si>
  <si>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</si>
  <si>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</si>
  <si>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</si>
  <si>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</si>
  <si>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</si>
  <si>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</si>
  <si>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</si>
  <si>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</si>
  <si>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</si>
  <si>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</si>
  <si>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</si>
  <si>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</si>
  <si>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</si>
  <si>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</si>
  <si>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</si>
  <si>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</si>
  <si>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</si>
  <si>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</si>
  <si>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</si>
  <si>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</si>
  <si>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</si>
  <si>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</si>
  <si>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</si>
  <si>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</si>
  <si>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</si>
  <si>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</si>
  <si>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</si>
  <si>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</si>
  <si>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</si>
  <si>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</si>
  <si>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</si>
  <si>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</si>
  <si>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</si>
  <si>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</si>
  <si>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UEG4_CANADIAN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</si>
</sst>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2" fillId="0" borderId="0" xfId="0" applyFont="1" applyAlignment="1">
      <alignment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85.695046643516" createdVersion="7" refreshedVersion="7" minRefreshableVersion="3" recordCount="66" xr:uid="{1976E921-BE3A-4FF1-A5EF-18E3F04892B4}">
  <cacheSource type="worksheet">
    <worksheetSource ref="A1:L65" sheet="Результаты"/>
  </cacheSource>
  <cacheFields count="12">
    <cacheField name="Номер" numFmtId="0">
      <sharedItems containsSemiMixedTypes="0" containsString="0" containsNumber="1" containsInteger="1" minValue="1" maxValue="66"/>
    </cacheField>
    <cacheField name="Стратегия" numFmtId="0">
      <sharedItems count="66">
        <s v="LEG1_BIBI2"/>
        <s v="LEG1_BORSCH"/>
        <s v="LEG1_CC2"/>
        <s v="LEG1_IGOGOSHA2"/>
        <s v="LEG1_IRONANNY2"/>
        <s v="LEG1_LAKSAe"/>
        <s v="LEG1_OKROSHKA"/>
        <s v="LEG1_PHOBO"/>
        <s v="LEG1_PHOGA"/>
        <s v="LEG1_PIN"/>
        <s v="LEG2_ALKASH"/>
        <s v="LEG2_DRG"/>
        <s v="LEG2_DRINKER"/>
        <s v="LEG2_FENNEC"/>
        <s v="LEG2_HOTS"/>
        <s v="LEG2_LOGAN"/>
        <s v="LEG2_LYNX"/>
        <s v="LEG2_MONSTER"/>
        <s v="PEG11_KUSURUKEN"/>
        <s v="PEG13_DWDDCr"/>
        <s v="PEG14_RANGER"/>
        <s v="PEG14_RENEGADE"/>
        <s v="PEG14_RWDDCr"/>
        <s v="PEG15_ANNA"/>
        <s v="PEG15_SILVANA"/>
        <s v="PEG17_PHOENIX"/>
        <s v="PEG18_ANDUIN"/>
        <s v="PEG18_BLAZE"/>
        <s v="PEG18_DIABLO2"/>
        <s v="PEG18_REXXAR2"/>
        <s v="PEG18_UTER"/>
        <s v="PEG18_UTER2"/>
        <s v="PEG18_VARIAN2"/>
        <s v="PEG19_ANUBARAK"/>
        <s v="PEG2_SDDCr"/>
        <s v="PEG20_HOGGER"/>
        <s v="PEG26_UNKNOWN"/>
        <s v="PEG4_U3"/>
        <s v="PEG4_UNIVERSAL"/>
        <s v="PEG8_DOBBY"/>
        <s v="PEG8_LOBSTER"/>
        <s v="SEG1_LITE"/>
        <s v="SEG3_FORCE"/>
        <s v="UEG2_DUCK"/>
        <s v="UEG2_GGD"/>
        <s v="UEG2_GOOSE"/>
        <s v="UEG4_FALCON"/>
        <s v="UEG4_PELICAN"/>
        <s v="UEG6_ADVENTURE"/>
        <s v="UEG6_DODO"/>
        <s v="UEG6_DUELDODO"/>
        <s v="UEG6_PIGEON"/>
        <s v="UEG6_SHERIFF"/>
        <s v="UEG6_VULTURE"/>
        <s v="UEG7_ADVENTURE"/>
        <s v="UEG7_DODO"/>
        <s v="UEG7_DUELDODO"/>
        <s v="UEG7_PIGEON"/>
        <s v="UEG7_SHERIFF"/>
        <s v="UEG7_VULTURE"/>
        <s v="UEG8_AVENGER"/>
        <s v="VEG1_VENUS"/>
        <s v="WEG3_BATYA"/>
        <s v="WEG4_DOG"/>
        <s v="WEG4_PUPPY"/>
        <s v="WEG7_PARADOX"/>
      </sharedItems>
    </cacheField>
    <cacheField name="Абс" numFmtId="0">
      <sharedItems containsSemiMixedTypes="0" containsString="0" containsNumber="1" minValue="-40" maxValue="64.3"/>
    </cacheField>
    <cacheField name="Отн" numFmtId="0">
      <sharedItems containsSemiMixedTypes="0" containsString="0" containsNumber="1" minValue="-8" maxValue="12.860000000000003"/>
    </cacheField>
    <cacheField name="Кол-во" numFmtId="0">
      <sharedItems containsSemiMixedTypes="0" containsString="0" containsNumber="1" containsInteger="1" minValue="0" maxValue="31"/>
    </cacheField>
    <cacheField name="Прибыль" numFmtId="0">
      <sharedItems containsSemiMixedTypes="0" containsString="0" containsNumber="1" containsInteger="1" minValue="0" maxValue="18"/>
    </cacheField>
    <cacheField name="Нейтрал" numFmtId="0">
      <sharedItems containsSemiMixedTypes="0" containsString="0" containsNumber="1" containsInteger="1" minValue="0" maxValue="1"/>
    </cacheField>
    <cacheField name="Убыток" numFmtId="0">
      <sharedItems containsSemiMixedTypes="0" containsString="0" containsNumber="1" containsInteger="1" minValue="0" maxValue="14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6" maxValue="2.2964285714285713"/>
    </cacheField>
    <cacheField name="СОП" numFmtId="2">
      <sharedItems containsSemiMixedTypes="0" containsString="0" containsNumber="1" minValue="-1.2" maxValue="0.45928571428571441"/>
    </cacheField>
    <cacheField name="Тип" numFmtId="2">
      <sharedItems count="6">
        <s v="LEG"/>
        <s v="PEG"/>
        <s v="SEG"/>
        <s v="UEG"/>
        <s v="VEG"/>
        <s v="W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n v="1"/>
    <x v="0"/>
    <n v="-24.9"/>
    <n v="-4.9799999999999995"/>
    <n v="5"/>
    <n v="1"/>
    <n v="0"/>
    <n v="4"/>
    <n v="20"/>
    <n v="-4.9799999999999995"/>
    <n v="-0.99599999999999989"/>
    <x v="0"/>
  </r>
  <r>
    <n v="2"/>
    <x v="1"/>
    <n v="0"/>
    <n v="0"/>
    <n v="0"/>
    <n v="0"/>
    <n v="0"/>
    <n v="0"/>
    <n v="0"/>
    <n v="0"/>
    <n v="0"/>
    <x v="0"/>
  </r>
  <r>
    <n v="3"/>
    <x v="2"/>
    <n v="-8.8999999999999986"/>
    <n v="-1.7799999999999998"/>
    <n v="8"/>
    <n v="4"/>
    <n v="0"/>
    <n v="4"/>
    <n v="50"/>
    <n v="-1.1124999999999998"/>
    <n v="-0.22249999999999998"/>
    <x v="0"/>
  </r>
  <r>
    <n v="4"/>
    <x v="3"/>
    <n v="0"/>
    <n v="0"/>
    <n v="0"/>
    <n v="0"/>
    <n v="0"/>
    <n v="0"/>
    <n v="0"/>
    <n v="0"/>
    <n v="0"/>
    <x v="0"/>
  </r>
  <r>
    <n v="5"/>
    <x v="4"/>
    <n v="-7.5"/>
    <n v="-1.5"/>
    <n v="5"/>
    <n v="1"/>
    <n v="0"/>
    <n v="4"/>
    <n v="20"/>
    <n v="-1.5"/>
    <n v="-0.3"/>
    <x v="0"/>
  </r>
  <r>
    <n v="6"/>
    <x v="5"/>
    <n v="6"/>
    <n v="1.2"/>
    <n v="3"/>
    <n v="3"/>
    <n v="0"/>
    <n v="0"/>
    <n v="100"/>
    <n v="2"/>
    <n v="0.39999999999999997"/>
    <x v="0"/>
  </r>
  <r>
    <n v="7"/>
    <x v="6"/>
    <n v="0"/>
    <n v="0"/>
    <n v="0"/>
    <n v="0"/>
    <n v="0"/>
    <n v="0"/>
    <n v="0"/>
    <n v="0"/>
    <n v="0"/>
    <x v="0"/>
  </r>
  <r>
    <n v="8"/>
    <x v="7"/>
    <n v="0"/>
    <n v="0"/>
    <n v="0"/>
    <n v="0"/>
    <n v="0"/>
    <n v="0"/>
    <n v="0"/>
    <n v="0"/>
    <n v="0"/>
    <x v="0"/>
  </r>
  <r>
    <n v="9"/>
    <x v="8"/>
    <n v="-6"/>
    <n v="-1.2"/>
    <n v="1"/>
    <n v="0"/>
    <n v="0"/>
    <n v="1"/>
    <n v="0"/>
    <n v="-6"/>
    <n v="-1.2"/>
    <x v="0"/>
  </r>
  <r>
    <n v="10"/>
    <x v="9"/>
    <n v="24.599999999999998"/>
    <n v="4.92"/>
    <n v="14"/>
    <n v="7"/>
    <n v="1"/>
    <n v="6"/>
    <n v="50"/>
    <n v="1.7571428571428569"/>
    <n v="0.35142857142857142"/>
    <x v="0"/>
  </r>
  <r>
    <n v="11"/>
    <x v="10"/>
    <n v="0"/>
    <n v="0"/>
    <n v="0"/>
    <n v="0"/>
    <n v="0"/>
    <n v="0"/>
    <n v="0"/>
    <n v="0"/>
    <n v="0"/>
    <x v="0"/>
  </r>
  <r>
    <n v="12"/>
    <x v="11"/>
    <n v="-12"/>
    <n v="-2.4"/>
    <n v="3"/>
    <n v="1"/>
    <n v="0"/>
    <n v="2"/>
    <n v="33.333333333333329"/>
    <n v="-4"/>
    <n v="-0.79999999999999993"/>
    <x v="0"/>
  </r>
  <r>
    <n v="13"/>
    <x v="12"/>
    <n v="6.5999999999999988"/>
    <n v="1.3200000000000007"/>
    <n v="17"/>
    <n v="7"/>
    <n v="0"/>
    <n v="10"/>
    <n v="41.17647058823529"/>
    <n v="0.38823529411764701"/>
    <n v="7.7647058823529458E-2"/>
    <x v="0"/>
  </r>
  <r>
    <n v="14"/>
    <x v="13"/>
    <n v="15.7"/>
    <n v="3.14"/>
    <n v="13"/>
    <n v="9"/>
    <n v="0"/>
    <n v="4"/>
    <n v="69.230769230769226"/>
    <n v="1.2076923076923076"/>
    <n v="0.24153846153846154"/>
    <x v="0"/>
  </r>
  <r>
    <n v="15"/>
    <x v="14"/>
    <n v="-1.8"/>
    <n v="-0.36"/>
    <n v="2"/>
    <n v="0"/>
    <n v="0"/>
    <n v="2"/>
    <n v="0"/>
    <n v="-0.9"/>
    <n v="-0.18"/>
    <x v="0"/>
  </r>
  <r>
    <n v="16"/>
    <x v="15"/>
    <n v="0"/>
    <n v="0"/>
    <n v="0"/>
    <n v="0"/>
    <n v="0"/>
    <n v="0"/>
    <n v="0"/>
    <n v="0"/>
    <n v="0"/>
    <x v="0"/>
  </r>
  <r>
    <n v="17"/>
    <x v="16"/>
    <n v="-11.9"/>
    <n v="-2.3800000000000003"/>
    <n v="8"/>
    <n v="4"/>
    <n v="0"/>
    <n v="4"/>
    <n v="50"/>
    <n v="-1.4875"/>
    <n v="-0.29750000000000004"/>
    <x v="0"/>
  </r>
  <r>
    <n v="18"/>
    <x v="17"/>
    <n v="0"/>
    <n v="0"/>
    <n v="0"/>
    <n v="0"/>
    <n v="0"/>
    <n v="0"/>
    <n v="0"/>
    <n v="0"/>
    <n v="0"/>
    <x v="0"/>
  </r>
  <r>
    <n v="19"/>
    <x v="18"/>
    <n v="15.199999999999996"/>
    <n v="3.0399999999999996"/>
    <n v="31"/>
    <n v="16"/>
    <n v="1"/>
    <n v="14"/>
    <n v="51.612903225806448"/>
    <n v="0.49032258064516115"/>
    <n v="9.8064516129032248E-2"/>
    <x v="1"/>
  </r>
  <r>
    <n v="20"/>
    <x v="19"/>
    <n v="1"/>
    <n v="0.2"/>
    <n v="2"/>
    <n v="1"/>
    <n v="0"/>
    <n v="1"/>
    <n v="50"/>
    <n v="0.5"/>
    <n v="0.1"/>
    <x v="1"/>
  </r>
  <r>
    <n v="21"/>
    <x v="20"/>
    <n v="-1.9000000000000001"/>
    <n v="-0.38"/>
    <n v="2"/>
    <n v="1"/>
    <n v="0"/>
    <n v="1"/>
    <n v="50"/>
    <n v="-0.95000000000000007"/>
    <n v="-0.19"/>
    <x v="1"/>
  </r>
  <r>
    <n v="22"/>
    <x v="21"/>
    <n v="3.3000000000000003"/>
    <n v="0.66000000000000014"/>
    <n v="6"/>
    <n v="3"/>
    <n v="0"/>
    <n v="3"/>
    <n v="50"/>
    <n v="0.55000000000000004"/>
    <n v="0.11000000000000003"/>
    <x v="1"/>
  </r>
  <r>
    <n v="23"/>
    <x v="22"/>
    <n v="0"/>
    <n v="0"/>
    <n v="0"/>
    <n v="0"/>
    <n v="0"/>
    <n v="0"/>
    <n v="0"/>
    <n v="0"/>
    <n v="0"/>
    <x v="1"/>
  </r>
  <r>
    <n v="24"/>
    <x v="23"/>
    <n v="0"/>
    <n v="0"/>
    <n v="0"/>
    <n v="0"/>
    <n v="0"/>
    <n v="0"/>
    <n v="0"/>
    <n v="0"/>
    <n v="0"/>
    <x v="1"/>
  </r>
  <r>
    <n v="25"/>
    <x v="24"/>
    <n v="0"/>
    <n v="0"/>
    <n v="0"/>
    <n v="0"/>
    <n v="0"/>
    <n v="0"/>
    <n v="0"/>
    <n v="0"/>
    <n v="0"/>
    <x v="1"/>
  </r>
  <r>
    <n v="26"/>
    <x v="25"/>
    <n v="64.3"/>
    <n v="12.860000000000003"/>
    <n v="28"/>
    <n v="18"/>
    <n v="0"/>
    <n v="10"/>
    <n v="64.285714285714292"/>
    <n v="2.2964285714285713"/>
    <n v="0.45928571428571441"/>
    <x v="1"/>
  </r>
  <r>
    <n v="27"/>
    <x v="26"/>
    <n v="-1.3"/>
    <n v="-0.26"/>
    <n v="1"/>
    <n v="0"/>
    <n v="0"/>
    <n v="1"/>
    <n v="0"/>
    <n v="-1.3"/>
    <n v="-0.26"/>
    <x v="1"/>
  </r>
  <r>
    <n v="28"/>
    <x v="27"/>
    <n v="-40"/>
    <n v="-8"/>
    <n v="11"/>
    <n v="3"/>
    <n v="1"/>
    <n v="7"/>
    <n v="27.27272727272727"/>
    <n v="-3.6363636363636362"/>
    <n v="-0.72727272727272729"/>
    <x v="1"/>
  </r>
  <r>
    <n v="29"/>
    <x v="28"/>
    <n v="-9.1"/>
    <n v="-1.82"/>
    <n v="5"/>
    <n v="1"/>
    <n v="0"/>
    <n v="4"/>
    <n v="20"/>
    <n v="-1.8199999999999998"/>
    <n v="-0.36399999999999999"/>
    <x v="1"/>
  </r>
  <r>
    <n v="30"/>
    <x v="29"/>
    <n v="0"/>
    <n v="0"/>
    <n v="0"/>
    <n v="0"/>
    <n v="0"/>
    <n v="0"/>
    <n v="0"/>
    <n v="0"/>
    <n v="0"/>
    <x v="1"/>
  </r>
  <r>
    <n v="31"/>
    <x v="30"/>
    <n v="-6.2"/>
    <n v="-1.24"/>
    <n v="5"/>
    <n v="3"/>
    <n v="1"/>
    <n v="1"/>
    <n v="60"/>
    <n v="-1.24"/>
    <n v="-0.248"/>
    <x v="1"/>
  </r>
  <r>
    <n v="32"/>
    <x v="31"/>
    <n v="-1.3000000000000007"/>
    <n v="-0.26000000000000023"/>
    <n v="5"/>
    <n v="3"/>
    <n v="0"/>
    <n v="2"/>
    <n v="60"/>
    <n v="-0.26000000000000012"/>
    <n v="-5.2000000000000046E-2"/>
    <x v="1"/>
  </r>
  <r>
    <n v="33"/>
    <x v="32"/>
    <n v="0"/>
    <n v="0"/>
    <n v="0"/>
    <n v="0"/>
    <n v="0"/>
    <n v="0"/>
    <n v="0"/>
    <n v="0"/>
    <n v="0"/>
    <x v="1"/>
  </r>
  <r>
    <n v="34"/>
    <x v="33"/>
    <n v="-3.8000000000000007"/>
    <n v="-0.76000000000000023"/>
    <n v="5"/>
    <n v="2"/>
    <n v="0"/>
    <n v="3"/>
    <n v="40"/>
    <n v="-0.76000000000000012"/>
    <n v="-0.15200000000000005"/>
    <x v="1"/>
  </r>
  <r>
    <n v="35"/>
    <x v="34"/>
    <n v="0"/>
    <n v="0"/>
    <n v="0"/>
    <n v="0"/>
    <n v="0"/>
    <n v="0"/>
    <n v="0"/>
    <n v="0"/>
    <n v="0"/>
    <x v="1"/>
  </r>
  <r>
    <n v="36"/>
    <x v="35"/>
    <n v="0"/>
    <n v="0"/>
    <n v="0"/>
    <n v="0"/>
    <n v="0"/>
    <n v="0"/>
    <n v="0"/>
    <n v="0"/>
    <n v="0"/>
    <x v="1"/>
  </r>
  <r>
    <n v="37"/>
    <x v="36"/>
    <n v="0"/>
    <n v="0"/>
    <n v="2"/>
    <n v="1"/>
    <n v="0"/>
    <n v="1"/>
    <n v="50"/>
    <n v="0"/>
    <n v="0"/>
    <x v="1"/>
  </r>
  <r>
    <n v="38"/>
    <x v="37"/>
    <n v="6"/>
    <n v="1.2"/>
    <n v="4"/>
    <n v="4"/>
    <n v="0"/>
    <n v="0"/>
    <n v="100"/>
    <n v="1.5"/>
    <n v="0.3"/>
    <x v="1"/>
  </r>
  <r>
    <n v="39"/>
    <x v="38"/>
    <n v="-6.5"/>
    <n v="-1.2999999999999998"/>
    <n v="4"/>
    <n v="1"/>
    <n v="0"/>
    <n v="3"/>
    <n v="25"/>
    <n v="-1.625"/>
    <n v="-0.32499999999999996"/>
    <x v="1"/>
  </r>
  <r>
    <n v="40"/>
    <x v="39"/>
    <n v="0"/>
    <n v="0"/>
    <n v="0"/>
    <n v="0"/>
    <n v="0"/>
    <n v="0"/>
    <n v="0"/>
    <n v="0"/>
    <n v="0"/>
    <x v="1"/>
  </r>
  <r>
    <n v="41"/>
    <x v="40"/>
    <n v="0"/>
    <n v="0"/>
    <n v="0"/>
    <n v="0"/>
    <n v="0"/>
    <n v="0"/>
    <n v="0"/>
    <n v="0"/>
    <n v="0"/>
    <x v="1"/>
  </r>
  <r>
    <n v="42"/>
    <x v="41"/>
    <n v="0"/>
    <n v="0"/>
    <n v="0"/>
    <n v="0"/>
    <n v="0"/>
    <n v="0"/>
    <n v="0"/>
    <n v="0"/>
    <n v="0"/>
    <x v="2"/>
  </r>
  <r>
    <n v="43"/>
    <x v="42"/>
    <n v="1.9000000000000004"/>
    <n v="0.37999999999999989"/>
    <n v="5"/>
    <n v="3"/>
    <n v="0"/>
    <n v="2"/>
    <n v="60"/>
    <n v="0.38000000000000006"/>
    <n v="7.5999999999999984E-2"/>
    <x v="2"/>
  </r>
  <r>
    <n v="44"/>
    <x v="43"/>
    <n v="0"/>
    <n v="0"/>
    <n v="0"/>
    <n v="0"/>
    <n v="0"/>
    <n v="0"/>
    <n v="0"/>
    <n v="0"/>
    <n v="0"/>
    <x v="3"/>
  </r>
  <r>
    <n v="45"/>
    <x v="44"/>
    <n v="0"/>
    <n v="0"/>
    <n v="0"/>
    <n v="0"/>
    <n v="0"/>
    <n v="0"/>
    <n v="0"/>
    <n v="0"/>
    <n v="0"/>
    <x v="3"/>
  </r>
  <r>
    <n v="46"/>
    <x v="45"/>
    <n v="0"/>
    <n v="0"/>
    <n v="0"/>
    <n v="0"/>
    <n v="0"/>
    <n v="0"/>
    <n v="0"/>
    <n v="0"/>
    <n v="0"/>
    <x v="3"/>
  </r>
  <r>
    <n v="47"/>
    <x v="46"/>
    <n v="-12"/>
    <n v="-2.4"/>
    <n v="2"/>
    <n v="0"/>
    <n v="0"/>
    <n v="2"/>
    <n v="0"/>
    <n v="-6"/>
    <n v="-1.2"/>
    <x v="3"/>
  </r>
  <r>
    <n v="48"/>
    <x v="47"/>
    <n v="-2.9000000000000004"/>
    <n v="-0.58000000000000007"/>
    <n v="5"/>
    <n v="3"/>
    <n v="0"/>
    <n v="2"/>
    <n v="60"/>
    <n v="-0.58000000000000007"/>
    <n v="-0.11600000000000002"/>
    <x v="3"/>
  </r>
  <r>
    <n v="49"/>
    <x v="48"/>
    <n v="-4.4000000000000004"/>
    <n v="-0.88"/>
    <n v="3"/>
    <n v="1"/>
    <n v="0"/>
    <n v="2"/>
    <n v="33.333333333333329"/>
    <n v="-1.4666666666666668"/>
    <n v="-0.29333333333333333"/>
    <x v="3"/>
  </r>
  <r>
    <n v="50"/>
    <x v="49"/>
    <n v="0"/>
    <n v="0"/>
    <n v="0"/>
    <n v="0"/>
    <n v="0"/>
    <n v="0"/>
    <n v="0"/>
    <n v="0"/>
    <n v="0"/>
    <x v="3"/>
  </r>
  <r>
    <n v="51"/>
    <x v="50"/>
    <n v="0"/>
    <n v="0"/>
    <n v="0"/>
    <n v="0"/>
    <n v="0"/>
    <n v="0"/>
    <n v="0"/>
    <n v="0"/>
    <n v="0"/>
    <x v="3"/>
  </r>
  <r>
    <n v="52"/>
    <x v="51"/>
    <n v="-4.2999999999999989"/>
    <n v="-0.85999999999999988"/>
    <n v="5"/>
    <n v="1"/>
    <n v="0"/>
    <n v="4"/>
    <n v="20"/>
    <n v="-0.85999999999999976"/>
    <n v="-0.17199999999999999"/>
    <x v="3"/>
  </r>
  <r>
    <n v="53"/>
    <x v="52"/>
    <n v="0"/>
    <n v="0"/>
    <n v="0"/>
    <n v="0"/>
    <n v="0"/>
    <n v="0"/>
    <n v="0"/>
    <n v="0"/>
    <n v="0"/>
    <x v="3"/>
  </r>
  <r>
    <n v="54"/>
    <x v="53"/>
    <n v="1.6000000000000014"/>
    <n v="0.32000000000000006"/>
    <n v="6"/>
    <n v="2"/>
    <n v="0"/>
    <n v="4"/>
    <n v="33.333333333333329"/>
    <n v="0.26666666666666689"/>
    <n v="5.3333333333333344E-2"/>
    <x v="3"/>
  </r>
  <r>
    <n v="55"/>
    <x v="54"/>
    <n v="1.0000000000000002"/>
    <n v="0.2"/>
    <n v="2"/>
    <n v="1"/>
    <n v="0"/>
    <n v="1"/>
    <n v="50"/>
    <n v="0.50000000000000011"/>
    <n v="0.1"/>
    <x v="3"/>
  </r>
  <r>
    <n v="56"/>
    <x v="55"/>
    <n v="0"/>
    <n v="0"/>
    <n v="0"/>
    <n v="0"/>
    <n v="0"/>
    <n v="0"/>
    <n v="0"/>
    <n v="0"/>
    <n v="0"/>
    <x v="3"/>
  </r>
  <r>
    <n v="57"/>
    <x v="56"/>
    <n v="0"/>
    <n v="0"/>
    <n v="0"/>
    <n v="0"/>
    <n v="0"/>
    <n v="0"/>
    <n v="0"/>
    <n v="0"/>
    <n v="0"/>
    <x v="3"/>
  </r>
  <r>
    <n v="58"/>
    <x v="57"/>
    <n v="0"/>
    <n v="0"/>
    <n v="0"/>
    <n v="0"/>
    <n v="0"/>
    <n v="0"/>
    <n v="0"/>
    <n v="0"/>
    <n v="0"/>
    <x v="3"/>
  </r>
  <r>
    <n v="59"/>
    <x v="58"/>
    <n v="0"/>
    <n v="0"/>
    <n v="0"/>
    <n v="0"/>
    <n v="0"/>
    <n v="0"/>
    <n v="0"/>
    <n v="0"/>
    <n v="0"/>
    <x v="3"/>
  </r>
  <r>
    <n v="60"/>
    <x v="59"/>
    <n v="0"/>
    <n v="0"/>
    <n v="0"/>
    <n v="0"/>
    <n v="0"/>
    <n v="0"/>
    <n v="0"/>
    <n v="0"/>
    <n v="0"/>
    <x v="3"/>
  </r>
  <r>
    <n v="61"/>
    <x v="60"/>
    <n v="0"/>
    <n v="0"/>
    <n v="0"/>
    <n v="0"/>
    <n v="0"/>
    <n v="0"/>
    <n v="0"/>
    <n v="0"/>
    <n v="0"/>
    <x v="3"/>
  </r>
  <r>
    <n v="62"/>
    <x v="61"/>
    <n v="-18.100000000000001"/>
    <n v="-3.6199999999999997"/>
    <n v="18"/>
    <n v="9"/>
    <n v="0"/>
    <n v="9"/>
    <n v="50"/>
    <n v="-1.0055555555555555"/>
    <n v="-0.2011111111111111"/>
    <x v="4"/>
  </r>
  <r>
    <n v="63"/>
    <x v="62"/>
    <n v="27"/>
    <n v="5.4"/>
    <n v="30"/>
    <n v="18"/>
    <n v="0"/>
    <n v="12"/>
    <n v="60"/>
    <n v="0.9"/>
    <n v="0.18000000000000002"/>
    <x v="5"/>
  </r>
  <r>
    <n v="64"/>
    <x v="63"/>
    <n v="0"/>
    <n v="0"/>
    <n v="0"/>
    <n v="0"/>
    <n v="0"/>
    <n v="0"/>
    <n v="0"/>
    <n v="0"/>
    <n v="0"/>
    <x v="5"/>
  </r>
  <r>
    <n v="65"/>
    <x v="64"/>
    <n v="17.5"/>
    <n v="3.4999999999999996"/>
    <n v="10"/>
    <n v="6"/>
    <n v="1"/>
    <n v="3"/>
    <n v="60"/>
    <n v="1.75"/>
    <n v="0.35"/>
    <x v="5"/>
  </r>
  <r>
    <n v="66"/>
    <x v="65"/>
    <n v="0"/>
    <n v="0"/>
    <n v="0"/>
    <n v="0"/>
    <n v="0"/>
    <n v="0"/>
    <n v="0"/>
    <n v="0"/>
    <n v="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C6C209-71EC-45CD-876E-D40B4E36B838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3:G10"/>
  <sheetViews>
    <sheetView workbookViewId="0">
      <selection activeCell="B10" sqref="B10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3" spans="1:7" x14ac:dyDescent="0.25">
      <c r="A3" s="14" t="s">
        <v>133</v>
      </c>
      <c r="B3" t="s">
        <v>135</v>
      </c>
      <c r="C3" t="s">
        <v>142</v>
      </c>
      <c r="D3" t="s">
        <v>143</v>
      </c>
      <c r="E3" t="s">
        <v>144</v>
      </c>
      <c r="F3" t="s">
        <v>145</v>
      </c>
      <c r="G3" t="s">
        <v>146</v>
      </c>
    </row>
    <row r="4" spans="1:7" x14ac:dyDescent="0.25">
      <c r="A4" s="15" t="s">
        <v>136</v>
      </c>
      <c r="B4" s="13">
        <v>-20.100000000000001</v>
      </c>
      <c r="C4" s="13">
        <v>-4.0199999999999996</v>
      </c>
      <c r="D4" s="13">
        <v>79</v>
      </c>
      <c r="E4" s="13">
        <v>37</v>
      </c>
      <c r="F4" s="13">
        <v>1</v>
      </c>
      <c r="G4" s="13">
        <v>41</v>
      </c>
    </row>
    <row r="5" spans="1:7" x14ac:dyDescent="0.25">
      <c r="A5" s="15" t="s">
        <v>137</v>
      </c>
      <c r="B5" s="13">
        <v>19.699999999999992</v>
      </c>
      <c r="C5" s="13">
        <v>3.9400000000000013</v>
      </c>
      <c r="D5" s="13">
        <v>111</v>
      </c>
      <c r="E5" s="13">
        <v>57</v>
      </c>
      <c r="F5" s="13">
        <v>3</v>
      </c>
      <c r="G5" s="13">
        <v>51</v>
      </c>
    </row>
    <row r="6" spans="1:7" x14ac:dyDescent="0.25">
      <c r="A6" s="15" t="s">
        <v>138</v>
      </c>
      <c r="B6" s="13">
        <v>1.9000000000000004</v>
      </c>
      <c r="C6" s="13">
        <v>0.37999999999999989</v>
      </c>
      <c r="D6" s="13">
        <v>5</v>
      </c>
      <c r="E6" s="13">
        <v>3</v>
      </c>
      <c r="F6" s="13">
        <v>0</v>
      </c>
      <c r="G6" s="13">
        <v>2</v>
      </c>
    </row>
    <row r="7" spans="1:7" x14ac:dyDescent="0.25">
      <c r="A7" s="15" t="s">
        <v>139</v>
      </c>
      <c r="B7" s="13">
        <v>-21</v>
      </c>
      <c r="C7" s="13">
        <v>-4.1999999999999993</v>
      </c>
      <c r="D7" s="13">
        <v>23</v>
      </c>
      <c r="E7" s="13">
        <v>8</v>
      </c>
      <c r="F7" s="13">
        <v>0</v>
      </c>
      <c r="G7" s="13">
        <v>15</v>
      </c>
    </row>
    <row r="8" spans="1:7" x14ac:dyDescent="0.25">
      <c r="A8" s="15" t="s">
        <v>140</v>
      </c>
      <c r="B8" s="13">
        <v>-18.100000000000001</v>
      </c>
      <c r="C8" s="13">
        <v>-3.6199999999999997</v>
      </c>
      <c r="D8" s="13">
        <v>18</v>
      </c>
      <c r="E8" s="13">
        <v>9</v>
      </c>
      <c r="F8" s="13">
        <v>0</v>
      </c>
      <c r="G8" s="13">
        <v>9</v>
      </c>
    </row>
    <row r="9" spans="1:7" x14ac:dyDescent="0.25">
      <c r="A9" s="15" t="s">
        <v>141</v>
      </c>
      <c r="B9" s="13">
        <v>44.5</v>
      </c>
      <c r="C9" s="13">
        <v>8.9</v>
      </c>
      <c r="D9" s="13">
        <v>40</v>
      </c>
      <c r="E9" s="13">
        <v>24</v>
      </c>
      <c r="F9" s="13">
        <v>1</v>
      </c>
      <c r="G9" s="13">
        <v>15</v>
      </c>
    </row>
    <row r="10" spans="1:7" x14ac:dyDescent="0.25">
      <c r="A10" s="15" t="s">
        <v>134</v>
      </c>
      <c r="B10" s="13">
        <v>6.8999999999999915</v>
      </c>
      <c r="C10" s="13">
        <v>1.3800000000000026</v>
      </c>
      <c r="D10" s="13">
        <v>276</v>
      </c>
      <c r="E10" s="13">
        <v>138</v>
      </c>
      <c r="F10" s="13">
        <v>5</v>
      </c>
      <c r="G10" s="13">
        <v>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tabSelected="1" workbookViewId="0">
      <selection activeCell="W48" sqref="W48"/>
    </sheetView>
  </sheetViews>
  <sheetFormatPr defaultRowHeight="15" x14ac:dyDescent="0.25"/>
  <cols>
    <col min="2" max="2" width="21.28515625" customWidth="1"/>
    <col min="13" max="13" width="9.85546875" customWidth="1"/>
  </cols>
  <sheetData>
    <row r="1" spans="1:26" x14ac:dyDescent="0.25">
      <c r="A1" t="s">
        <v>132</v>
      </c>
      <c r="B1" t="s">
        <v>131</v>
      </c>
      <c r="C1" s="3" t="s">
        <v>120</v>
      </c>
      <c r="D1" s="3" t="s">
        <v>121</v>
      </c>
      <c r="E1" s="3" t="s">
        <v>78</v>
      </c>
      <c r="F1" s="3" t="s">
        <v>79</v>
      </c>
      <c r="G1" s="3" t="s">
        <v>122</v>
      </c>
      <c r="H1" s="3" t="s">
        <v>80</v>
      </c>
      <c r="I1" s="3" t="s">
        <v>123</v>
      </c>
      <c r="J1" s="3" t="s">
        <v>127</v>
      </c>
      <c r="K1" s="3" t="s">
        <v>128</v>
      </c>
      <c r="L1" s="3" t="s">
        <v>130</v>
      </c>
      <c r="M1" s="5" t="s">
        <v>129</v>
      </c>
      <c r="N1" s="5" t="s">
        <v>120</v>
      </c>
      <c r="O1" s="5" t="s">
        <v>121</v>
      </c>
      <c r="P1" s="5" t="s">
        <v>78</v>
      </c>
      <c r="Q1" s="5" t="s">
        <v>79</v>
      </c>
      <c r="R1" s="5" t="s">
        <v>122</v>
      </c>
      <c r="S1" s="5" t="s">
        <v>80</v>
      </c>
      <c r="T1" s="4" t="s">
        <v>126</v>
      </c>
      <c r="U1" s="4" t="s">
        <v>120</v>
      </c>
      <c r="V1" s="4" t="s">
        <v>121</v>
      </c>
      <c r="W1" s="4" t="s">
        <v>78</v>
      </c>
      <c r="X1" s="4" t="s">
        <v>79</v>
      </c>
      <c r="Y1" s="4" t="s">
        <v>122</v>
      </c>
      <c r="Z1" s="4" t="s">
        <v>80</v>
      </c>
    </row>
    <row r="2" spans="1:26" x14ac:dyDescent="0.25">
      <c r="A2">
        <v>1</v>
      </c>
      <c r="B2" t="s">
        <v>116</v>
      </c>
      <c r="C2">
        <v>-24.9</v>
      </c>
      <c r="D2">
        <v>-4.9799999999999995</v>
      </c>
      <c r="E2">
        <v>5</v>
      </c>
      <c r="F2">
        <v>1</v>
      </c>
      <c r="G2">
        <v>0</v>
      </c>
      <c r="H2">
        <v>4</v>
      </c>
      <c r="I2" s="7">
        <f t="shared" ref="I2:I33" si="0">IFERROR((F2/E2)*100,0)</f>
        <v>20</v>
      </c>
      <c r="J2" s="10">
        <f t="shared" ref="J2:J33" si="1">IFERROR(C2/E2,0)</f>
        <v>-4.9799999999999995</v>
      </c>
      <c r="K2" s="10">
        <f t="shared" ref="K2:K33" si="2">IFERROR(D2/E2,0)</f>
        <v>-0.99599999999999989</v>
      </c>
      <c r="L2" s="10" t="str">
        <f>LEFT(B2,3)</f>
        <v>LEG</v>
      </c>
      <c r="N2">
        <f t="shared" ref="N2:S2" si="3">C2+U2</f>
        <v>-24.9</v>
      </c>
      <c r="O2">
        <f t="shared" si="3"/>
        <v>-4.9799999999999995</v>
      </c>
      <c r="P2">
        <f t="shared" si="3"/>
        <v>5</v>
      </c>
      <c r="Q2">
        <f t="shared" si="3"/>
        <v>1</v>
      </c>
      <c r="R2">
        <f t="shared" si="3"/>
        <v>0</v>
      </c>
      <c r="S2">
        <f t="shared" si="3"/>
        <v>4</v>
      </c>
    </row>
    <row r="3" spans="1:26" x14ac:dyDescent="0.25">
      <c r="A3">
        <v>2</v>
      </c>
      <c r="B3" t="s">
        <v>86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7">
        <f t="shared" si="0"/>
        <v>0</v>
      </c>
      <c r="J3" s="10">
        <f t="shared" si="1"/>
        <v>0</v>
      </c>
      <c r="K3" s="10">
        <f t="shared" si="2"/>
        <v>0</v>
      </c>
      <c r="L3" s="10" t="str">
        <f t="shared" ref="L3:L64" si="4">LEFT(B3,3)</f>
        <v>LEG</v>
      </c>
      <c r="N3">
        <f t="shared" ref="N3:N64" si="5">C3+U3</f>
        <v>0</v>
      </c>
      <c r="O3">
        <f t="shared" ref="O3:O17" si="6">D3+V3</f>
        <v>0</v>
      </c>
      <c r="P3">
        <f t="shared" ref="P3:P17" si="7">E3+W3</f>
        <v>0</v>
      </c>
      <c r="Q3">
        <f t="shared" ref="Q3:Q17" si="8">F3+X3</f>
        <v>0</v>
      </c>
      <c r="R3">
        <f t="shared" ref="R3:R17" si="9">G3+Y3</f>
        <v>0</v>
      </c>
      <c r="S3">
        <f t="shared" ref="S3:S17" si="10">H3+Z3</f>
        <v>0</v>
      </c>
    </row>
    <row r="4" spans="1:26" x14ac:dyDescent="0.25">
      <c r="A4">
        <v>3</v>
      </c>
      <c r="B4" t="s">
        <v>119</v>
      </c>
      <c r="C4">
        <v>-8.8999999999999986</v>
      </c>
      <c r="D4">
        <v>-1.7799999999999998</v>
      </c>
      <c r="E4">
        <v>8</v>
      </c>
      <c r="F4">
        <v>4</v>
      </c>
      <c r="G4">
        <v>0</v>
      </c>
      <c r="H4">
        <v>4</v>
      </c>
      <c r="I4" s="7">
        <f t="shared" si="0"/>
        <v>50</v>
      </c>
      <c r="J4" s="10">
        <f t="shared" si="1"/>
        <v>-1.1124999999999998</v>
      </c>
      <c r="K4" s="10">
        <f t="shared" si="2"/>
        <v>-0.22249999999999998</v>
      </c>
      <c r="L4" s="10" t="str">
        <f t="shared" si="4"/>
        <v>LEG</v>
      </c>
      <c r="N4">
        <f t="shared" si="5"/>
        <v>-8.8999999999999986</v>
      </c>
      <c r="O4">
        <f t="shared" si="6"/>
        <v>-1.7799999999999998</v>
      </c>
      <c r="P4">
        <f t="shared" si="7"/>
        <v>8</v>
      </c>
      <c r="Q4">
        <f t="shared" si="8"/>
        <v>4</v>
      </c>
      <c r="R4">
        <f t="shared" si="9"/>
        <v>0</v>
      </c>
      <c r="S4">
        <f t="shared" si="10"/>
        <v>4</v>
      </c>
    </row>
    <row r="5" spans="1:26" x14ac:dyDescent="0.25">
      <c r="A5">
        <v>4</v>
      </c>
      <c r="B5" t="s">
        <v>117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 s="7">
        <f t="shared" si="0"/>
        <v>0</v>
      </c>
      <c r="J5" s="10">
        <f t="shared" si="1"/>
        <v>0</v>
      </c>
      <c r="K5" s="10">
        <f t="shared" si="2"/>
        <v>0</v>
      </c>
      <c r="L5" s="10" t="str">
        <f t="shared" si="4"/>
        <v>LEG</v>
      </c>
      <c r="N5">
        <f t="shared" si="5"/>
        <v>0</v>
      </c>
      <c r="O5">
        <f t="shared" si="6"/>
        <v>0</v>
      </c>
      <c r="P5">
        <f t="shared" si="7"/>
        <v>0</v>
      </c>
      <c r="Q5">
        <f t="shared" si="8"/>
        <v>0</v>
      </c>
      <c r="R5">
        <f t="shared" si="9"/>
        <v>0</v>
      </c>
      <c r="S5">
        <f t="shared" si="10"/>
        <v>0</v>
      </c>
    </row>
    <row r="6" spans="1:26" x14ac:dyDescent="0.25">
      <c r="A6">
        <v>5</v>
      </c>
      <c r="B6" t="s">
        <v>118</v>
      </c>
      <c r="C6">
        <v>-7.5</v>
      </c>
      <c r="D6">
        <v>-1.5</v>
      </c>
      <c r="E6">
        <v>5</v>
      </c>
      <c r="F6">
        <v>1</v>
      </c>
      <c r="G6">
        <v>0</v>
      </c>
      <c r="H6">
        <v>4</v>
      </c>
      <c r="I6" s="7">
        <f t="shared" si="0"/>
        <v>20</v>
      </c>
      <c r="J6" s="10">
        <f t="shared" si="1"/>
        <v>-1.5</v>
      </c>
      <c r="K6" s="10">
        <f t="shared" si="2"/>
        <v>-0.3</v>
      </c>
      <c r="L6" s="10" t="str">
        <f t="shared" si="4"/>
        <v>LEG</v>
      </c>
      <c r="N6">
        <f t="shared" si="5"/>
        <v>-7.5</v>
      </c>
      <c r="O6">
        <f t="shared" si="6"/>
        <v>-1.5</v>
      </c>
      <c r="P6">
        <f t="shared" si="7"/>
        <v>5</v>
      </c>
      <c r="Q6">
        <f t="shared" si="8"/>
        <v>1</v>
      </c>
      <c r="R6">
        <f t="shared" si="9"/>
        <v>0</v>
      </c>
      <c r="S6">
        <f t="shared" si="10"/>
        <v>4</v>
      </c>
    </row>
    <row r="7" spans="1:26" x14ac:dyDescent="0.25">
      <c r="A7">
        <v>6</v>
      </c>
      <c r="B7" t="s">
        <v>69</v>
      </c>
      <c r="C7">
        <v>6</v>
      </c>
      <c r="D7">
        <v>1.2</v>
      </c>
      <c r="E7">
        <v>3</v>
      </c>
      <c r="F7">
        <v>3</v>
      </c>
      <c r="G7">
        <v>0</v>
      </c>
      <c r="H7">
        <v>0</v>
      </c>
      <c r="I7" s="7">
        <f t="shared" si="0"/>
        <v>100</v>
      </c>
      <c r="J7" s="10">
        <f t="shared" si="1"/>
        <v>2</v>
      </c>
      <c r="K7" s="10">
        <f t="shared" si="2"/>
        <v>0.39999999999999997</v>
      </c>
      <c r="L7" s="10" t="str">
        <f t="shared" si="4"/>
        <v>LEG</v>
      </c>
      <c r="N7">
        <f t="shared" si="5"/>
        <v>6</v>
      </c>
      <c r="O7">
        <f t="shared" si="6"/>
        <v>1.2</v>
      </c>
      <c r="P7">
        <f t="shared" si="7"/>
        <v>3</v>
      </c>
      <c r="Q7">
        <f t="shared" si="8"/>
        <v>3</v>
      </c>
      <c r="R7">
        <f t="shared" si="9"/>
        <v>0</v>
      </c>
      <c r="S7">
        <f t="shared" si="10"/>
        <v>0</v>
      </c>
    </row>
    <row r="8" spans="1:26" x14ac:dyDescent="0.25">
      <c r="A8">
        <v>7</v>
      </c>
      <c r="B8" t="s">
        <v>85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 s="7">
        <f t="shared" si="0"/>
        <v>0</v>
      </c>
      <c r="J8" s="10">
        <f t="shared" si="1"/>
        <v>0</v>
      </c>
      <c r="K8" s="10">
        <f t="shared" si="2"/>
        <v>0</v>
      </c>
      <c r="L8" s="10" t="str">
        <f t="shared" si="4"/>
        <v>LEG</v>
      </c>
      <c r="N8">
        <f t="shared" si="5"/>
        <v>0</v>
      </c>
      <c r="O8">
        <f t="shared" si="6"/>
        <v>0</v>
      </c>
      <c r="P8">
        <f t="shared" si="7"/>
        <v>0</v>
      </c>
      <c r="Q8">
        <f t="shared" si="8"/>
        <v>0</v>
      </c>
      <c r="R8">
        <f t="shared" si="9"/>
        <v>0</v>
      </c>
      <c r="S8">
        <f t="shared" si="10"/>
        <v>0</v>
      </c>
    </row>
    <row r="9" spans="1:26" x14ac:dyDescent="0.25">
      <c r="A9">
        <v>8</v>
      </c>
      <c r="B9" t="s">
        <v>87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7">
        <f t="shared" si="0"/>
        <v>0</v>
      </c>
      <c r="J9" s="10">
        <f t="shared" si="1"/>
        <v>0</v>
      </c>
      <c r="K9" s="10">
        <f t="shared" si="2"/>
        <v>0</v>
      </c>
      <c r="L9" s="10" t="str">
        <f t="shared" si="4"/>
        <v>LEG</v>
      </c>
      <c r="N9">
        <f t="shared" si="5"/>
        <v>0</v>
      </c>
      <c r="O9">
        <f t="shared" si="6"/>
        <v>0</v>
      </c>
      <c r="P9">
        <f t="shared" si="7"/>
        <v>0</v>
      </c>
      <c r="Q9">
        <f t="shared" si="8"/>
        <v>0</v>
      </c>
      <c r="R9">
        <f t="shared" si="9"/>
        <v>0</v>
      </c>
      <c r="S9">
        <f t="shared" si="10"/>
        <v>0</v>
      </c>
    </row>
    <row r="10" spans="1:26" x14ac:dyDescent="0.25">
      <c r="A10">
        <v>9</v>
      </c>
      <c r="B10" t="s">
        <v>72</v>
      </c>
      <c r="C10">
        <v>-6</v>
      </c>
      <c r="D10">
        <v>-1.2</v>
      </c>
      <c r="E10">
        <v>1</v>
      </c>
      <c r="F10">
        <v>0</v>
      </c>
      <c r="G10">
        <v>0</v>
      </c>
      <c r="H10">
        <v>1</v>
      </c>
      <c r="I10" s="7">
        <f t="shared" si="0"/>
        <v>0</v>
      </c>
      <c r="J10" s="10">
        <f t="shared" si="1"/>
        <v>-6</v>
      </c>
      <c r="K10" s="10">
        <f t="shared" si="2"/>
        <v>-1.2</v>
      </c>
      <c r="L10" s="10" t="str">
        <f t="shared" si="4"/>
        <v>LEG</v>
      </c>
      <c r="N10">
        <f t="shared" si="5"/>
        <v>-6</v>
      </c>
      <c r="O10">
        <f t="shared" si="6"/>
        <v>-1.2</v>
      </c>
      <c r="P10">
        <f t="shared" si="7"/>
        <v>1</v>
      </c>
      <c r="Q10">
        <f t="shared" si="8"/>
        <v>0</v>
      </c>
      <c r="R10">
        <f t="shared" si="9"/>
        <v>0</v>
      </c>
      <c r="S10">
        <f t="shared" si="10"/>
        <v>1</v>
      </c>
    </row>
    <row r="11" spans="1:26" x14ac:dyDescent="0.25">
      <c r="A11">
        <v>10</v>
      </c>
      <c r="B11" t="s">
        <v>67</v>
      </c>
      <c r="C11">
        <v>24.599999999999998</v>
      </c>
      <c r="D11">
        <v>4.92</v>
      </c>
      <c r="E11">
        <v>14</v>
      </c>
      <c r="F11">
        <v>7</v>
      </c>
      <c r="G11">
        <v>1</v>
      </c>
      <c r="H11">
        <v>6</v>
      </c>
      <c r="I11" s="7">
        <f t="shared" si="0"/>
        <v>50</v>
      </c>
      <c r="J11" s="10">
        <f t="shared" si="1"/>
        <v>1.7571428571428569</v>
      </c>
      <c r="K11" s="10">
        <f t="shared" si="2"/>
        <v>0.35142857142857142</v>
      </c>
      <c r="L11" s="10" t="str">
        <f t="shared" si="4"/>
        <v>LEG</v>
      </c>
      <c r="N11">
        <f t="shared" si="5"/>
        <v>24.599999999999998</v>
      </c>
      <c r="O11">
        <f t="shared" si="6"/>
        <v>4.92</v>
      </c>
      <c r="P11">
        <f t="shared" si="7"/>
        <v>14</v>
      </c>
      <c r="Q11">
        <f t="shared" si="8"/>
        <v>7</v>
      </c>
      <c r="R11">
        <f t="shared" si="9"/>
        <v>1</v>
      </c>
      <c r="S11">
        <f t="shared" si="10"/>
        <v>6</v>
      </c>
    </row>
    <row r="12" spans="1:26" x14ac:dyDescent="0.25">
      <c r="A12">
        <v>11</v>
      </c>
      <c r="B12" t="s">
        <v>88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 s="7">
        <f t="shared" si="0"/>
        <v>0</v>
      </c>
      <c r="J12" s="10">
        <f t="shared" si="1"/>
        <v>0</v>
      </c>
      <c r="K12" s="10">
        <f t="shared" si="2"/>
        <v>0</v>
      </c>
      <c r="L12" s="10" t="str">
        <f t="shared" si="4"/>
        <v>LEG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0</v>
      </c>
      <c r="R12">
        <f t="shared" si="9"/>
        <v>0</v>
      </c>
      <c r="S12">
        <f t="shared" si="10"/>
        <v>0</v>
      </c>
    </row>
    <row r="13" spans="1:26" x14ac:dyDescent="0.25">
      <c r="A13">
        <v>12</v>
      </c>
      <c r="B13" t="s">
        <v>71</v>
      </c>
      <c r="C13">
        <v>-12</v>
      </c>
      <c r="D13">
        <v>-2.4</v>
      </c>
      <c r="E13">
        <v>3</v>
      </c>
      <c r="F13">
        <v>1</v>
      </c>
      <c r="G13">
        <v>0</v>
      </c>
      <c r="H13">
        <v>2</v>
      </c>
      <c r="I13" s="7">
        <f t="shared" si="0"/>
        <v>33.333333333333329</v>
      </c>
      <c r="J13" s="10">
        <f t="shared" si="1"/>
        <v>-4</v>
      </c>
      <c r="K13" s="10">
        <f t="shared" si="2"/>
        <v>-0.79999999999999993</v>
      </c>
      <c r="L13" s="10" t="str">
        <f t="shared" si="4"/>
        <v>LEG</v>
      </c>
      <c r="N13">
        <f t="shared" si="5"/>
        <v>-12</v>
      </c>
      <c r="O13">
        <f t="shared" si="6"/>
        <v>-2.4</v>
      </c>
      <c r="P13">
        <f t="shared" si="7"/>
        <v>3</v>
      </c>
      <c r="Q13">
        <f t="shared" si="8"/>
        <v>1</v>
      </c>
      <c r="R13">
        <f t="shared" si="9"/>
        <v>0</v>
      </c>
      <c r="S13">
        <f t="shared" si="10"/>
        <v>2</v>
      </c>
    </row>
    <row r="14" spans="1:26" x14ac:dyDescent="0.25">
      <c r="A14">
        <v>13</v>
      </c>
      <c r="B14" t="s">
        <v>55</v>
      </c>
      <c r="C14">
        <v>6.5999999999999988</v>
      </c>
      <c r="D14">
        <v>1.3200000000000007</v>
      </c>
      <c r="E14">
        <v>17</v>
      </c>
      <c r="F14">
        <v>7</v>
      </c>
      <c r="G14">
        <v>0</v>
      </c>
      <c r="H14">
        <v>10</v>
      </c>
      <c r="I14" s="7">
        <f t="shared" si="0"/>
        <v>41.17647058823529</v>
      </c>
      <c r="J14" s="10">
        <f t="shared" si="1"/>
        <v>0.38823529411764701</v>
      </c>
      <c r="K14" s="10">
        <f t="shared" si="2"/>
        <v>7.7647058823529458E-2</v>
      </c>
      <c r="L14" s="10" t="str">
        <f t="shared" si="4"/>
        <v>LEG</v>
      </c>
      <c r="N14">
        <f t="shared" si="5"/>
        <v>6.5999999999999988</v>
      </c>
      <c r="O14">
        <f t="shared" si="6"/>
        <v>1.3200000000000007</v>
      </c>
      <c r="P14">
        <f t="shared" si="7"/>
        <v>17</v>
      </c>
      <c r="Q14">
        <f t="shared" si="8"/>
        <v>7</v>
      </c>
      <c r="R14">
        <f t="shared" si="9"/>
        <v>0</v>
      </c>
      <c r="S14">
        <f t="shared" si="10"/>
        <v>10</v>
      </c>
    </row>
    <row r="15" spans="1:26" x14ac:dyDescent="0.25">
      <c r="A15">
        <v>14</v>
      </c>
      <c r="B15" t="s">
        <v>62</v>
      </c>
      <c r="C15">
        <v>15.7</v>
      </c>
      <c r="D15">
        <v>3.14</v>
      </c>
      <c r="E15">
        <v>13</v>
      </c>
      <c r="F15">
        <v>9</v>
      </c>
      <c r="G15">
        <v>0</v>
      </c>
      <c r="H15">
        <v>4</v>
      </c>
      <c r="I15" s="7">
        <f t="shared" si="0"/>
        <v>69.230769230769226</v>
      </c>
      <c r="J15" s="10">
        <f t="shared" si="1"/>
        <v>1.2076923076923076</v>
      </c>
      <c r="K15" s="10">
        <f t="shared" si="2"/>
        <v>0.24153846153846154</v>
      </c>
      <c r="L15" s="10" t="str">
        <f t="shared" si="4"/>
        <v>LEG</v>
      </c>
      <c r="N15">
        <f t="shared" si="5"/>
        <v>15.7</v>
      </c>
      <c r="O15">
        <f t="shared" si="6"/>
        <v>3.14</v>
      </c>
      <c r="P15">
        <f t="shared" si="7"/>
        <v>13</v>
      </c>
      <c r="Q15">
        <f t="shared" si="8"/>
        <v>9</v>
      </c>
      <c r="R15">
        <f t="shared" si="9"/>
        <v>0</v>
      </c>
      <c r="S15">
        <f t="shared" si="10"/>
        <v>4</v>
      </c>
    </row>
    <row r="16" spans="1:26" x14ac:dyDescent="0.25">
      <c r="A16">
        <v>15</v>
      </c>
      <c r="B16" t="s">
        <v>81</v>
      </c>
      <c r="C16">
        <v>-1.8</v>
      </c>
      <c r="D16">
        <v>-0.36</v>
      </c>
      <c r="E16">
        <v>2</v>
      </c>
      <c r="F16">
        <v>0</v>
      </c>
      <c r="G16">
        <v>0</v>
      </c>
      <c r="H16">
        <v>2</v>
      </c>
      <c r="I16" s="7">
        <f t="shared" si="0"/>
        <v>0</v>
      </c>
      <c r="J16" s="10">
        <f t="shared" si="1"/>
        <v>-0.9</v>
      </c>
      <c r="K16" s="10">
        <f t="shared" si="2"/>
        <v>-0.18</v>
      </c>
      <c r="L16" s="10" t="str">
        <f t="shared" si="4"/>
        <v>LEG</v>
      </c>
      <c r="N16">
        <f t="shared" si="5"/>
        <v>-1.8</v>
      </c>
      <c r="O16">
        <f t="shared" si="6"/>
        <v>-0.36</v>
      </c>
      <c r="P16">
        <f t="shared" si="7"/>
        <v>2</v>
      </c>
      <c r="Q16">
        <f t="shared" si="8"/>
        <v>0</v>
      </c>
      <c r="R16">
        <f t="shared" si="9"/>
        <v>0</v>
      </c>
      <c r="S16">
        <f t="shared" si="10"/>
        <v>2</v>
      </c>
    </row>
    <row r="17" spans="1:19" x14ac:dyDescent="0.25">
      <c r="A17">
        <v>16</v>
      </c>
      <c r="B17" t="s">
        <v>82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 s="7">
        <f t="shared" si="0"/>
        <v>0</v>
      </c>
      <c r="J17" s="10">
        <f t="shared" si="1"/>
        <v>0</v>
      </c>
      <c r="K17" s="10">
        <f t="shared" si="2"/>
        <v>0</v>
      </c>
      <c r="L17" s="10" t="str">
        <f t="shared" si="4"/>
        <v>LEG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0</v>
      </c>
      <c r="R17">
        <f t="shared" si="9"/>
        <v>0</v>
      </c>
      <c r="S17">
        <f t="shared" si="10"/>
        <v>0</v>
      </c>
    </row>
    <row r="18" spans="1:19" x14ac:dyDescent="0.25">
      <c r="A18">
        <v>17</v>
      </c>
      <c r="B18" t="s">
        <v>60</v>
      </c>
      <c r="C18">
        <v>-11.9</v>
      </c>
      <c r="D18">
        <v>-2.3800000000000003</v>
      </c>
      <c r="E18">
        <v>8</v>
      </c>
      <c r="F18">
        <v>4</v>
      </c>
      <c r="G18">
        <v>0</v>
      </c>
      <c r="H18">
        <v>4</v>
      </c>
      <c r="I18" s="7">
        <f t="shared" si="0"/>
        <v>50</v>
      </c>
      <c r="J18" s="10">
        <f t="shared" si="1"/>
        <v>-1.4875</v>
      </c>
      <c r="K18" s="10">
        <f t="shared" si="2"/>
        <v>-0.29750000000000004</v>
      </c>
      <c r="L18" s="10" t="str">
        <f t="shared" si="4"/>
        <v>LEG</v>
      </c>
      <c r="N18">
        <f t="shared" si="5"/>
        <v>-11.9</v>
      </c>
      <c r="O18">
        <f t="shared" ref="O18:O65" si="11">D18+V18</f>
        <v>-2.3800000000000003</v>
      </c>
      <c r="P18">
        <f t="shared" ref="P18:P65" si="12">E18+W18</f>
        <v>8</v>
      </c>
      <c r="Q18">
        <f t="shared" ref="Q18:Q65" si="13">F18+X18</f>
        <v>4</v>
      </c>
      <c r="R18">
        <f t="shared" ref="R18:R47" si="14">G18+Y18</f>
        <v>0</v>
      </c>
      <c r="S18">
        <f t="shared" ref="S18:S47" si="15">H18+Z18</f>
        <v>4</v>
      </c>
    </row>
    <row r="19" spans="1:19" x14ac:dyDescent="0.25">
      <c r="A19">
        <v>18</v>
      </c>
      <c r="B19" t="s">
        <v>89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 s="7">
        <f t="shared" si="0"/>
        <v>0</v>
      </c>
      <c r="J19" s="10">
        <f t="shared" si="1"/>
        <v>0</v>
      </c>
      <c r="K19" s="10">
        <f t="shared" si="2"/>
        <v>0</v>
      </c>
      <c r="L19" s="10" t="str">
        <f t="shared" si="4"/>
        <v>LEG</v>
      </c>
      <c r="N19">
        <f t="shared" si="5"/>
        <v>0</v>
      </c>
      <c r="O19">
        <f t="shared" si="11"/>
        <v>0</v>
      </c>
      <c r="P19">
        <f t="shared" si="12"/>
        <v>0</v>
      </c>
      <c r="Q19">
        <f t="shared" si="13"/>
        <v>0</v>
      </c>
      <c r="R19">
        <f t="shared" si="14"/>
        <v>0</v>
      </c>
      <c r="S19">
        <f t="shared" si="15"/>
        <v>0</v>
      </c>
    </row>
    <row r="20" spans="1:19" x14ac:dyDescent="0.25">
      <c r="A20">
        <v>19</v>
      </c>
      <c r="B20" t="s">
        <v>64</v>
      </c>
      <c r="C20">
        <v>15.199999999999996</v>
      </c>
      <c r="D20">
        <v>3.0399999999999996</v>
      </c>
      <c r="E20">
        <v>31</v>
      </c>
      <c r="F20">
        <v>16</v>
      </c>
      <c r="G20">
        <v>1</v>
      </c>
      <c r="H20">
        <v>14</v>
      </c>
      <c r="I20" s="7">
        <f t="shared" si="0"/>
        <v>51.612903225806448</v>
      </c>
      <c r="J20" s="10">
        <f t="shared" si="1"/>
        <v>0.49032258064516115</v>
      </c>
      <c r="K20" s="10">
        <f t="shared" si="2"/>
        <v>9.8064516129032248E-2</v>
      </c>
      <c r="L20" s="10" t="str">
        <f t="shared" si="4"/>
        <v>PEG</v>
      </c>
      <c r="N20">
        <f t="shared" si="5"/>
        <v>15.199999999999996</v>
      </c>
      <c r="O20">
        <f t="shared" si="11"/>
        <v>3.0399999999999996</v>
      </c>
      <c r="P20">
        <f t="shared" si="12"/>
        <v>31</v>
      </c>
      <c r="Q20">
        <f t="shared" si="13"/>
        <v>16</v>
      </c>
      <c r="R20">
        <f t="shared" si="14"/>
        <v>1</v>
      </c>
      <c r="S20">
        <f t="shared" si="15"/>
        <v>14</v>
      </c>
    </row>
    <row r="21" spans="1:19" x14ac:dyDescent="0.25">
      <c r="A21">
        <v>20</v>
      </c>
      <c r="B21" t="s">
        <v>75</v>
      </c>
      <c r="C21">
        <v>1</v>
      </c>
      <c r="D21">
        <v>0.2</v>
      </c>
      <c r="E21">
        <v>2</v>
      </c>
      <c r="F21">
        <v>1</v>
      </c>
      <c r="G21">
        <v>0</v>
      </c>
      <c r="H21">
        <v>1</v>
      </c>
      <c r="I21" s="7">
        <f t="shared" si="0"/>
        <v>50</v>
      </c>
      <c r="J21" s="10">
        <f t="shared" si="1"/>
        <v>0.5</v>
      </c>
      <c r="K21" s="10">
        <f t="shared" si="2"/>
        <v>0.1</v>
      </c>
      <c r="L21" s="10" t="str">
        <f t="shared" si="4"/>
        <v>PEG</v>
      </c>
      <c r="N21">
        <f t="shared" si="5"/>
        <v>1</v>
      </c>
      <c r="O21">
        <f t="shared" si="11"/>
        <v>0.2</v>
      </c>
      <c r="P21">
        <f t="shared" si="12"/>
        <v>2</v>
      </c>
      <c r="Q21">
        <f t="shared" si="13"/>
        <v>1</v>
      </c>
      <c r="R21">
        <f t="shared" si="14"/>
        <v>0</v>
      </c>
      <c r="S21">
        <f t="shared" si="15"/>
        <v>1</v>
      </c>
    </row>
    <row r="22" spans="1:19" x14ac:dyDescent="0.25">
      <c r="A22">
        <v>21</v>
      </c>
      <c r="B22" t="s">
        <v>105</v>
      </c>
      <c r="C22">
        <v>-1.9000000000000001</v>
      </c>
      <c r="D22">
        <v>-0.38</v>
      </c>
      <c r="E22">
        <v>2</v>
      </c>
      <c r="F22">
        <v>1</v>
      </c>
      <c r="G22">
        <v>0</v>
      </c>
      <c r="H22">
        <v>1</v>
      </c>
      <c r="I22" s="7">
        <f t="shared" si="0"/>
        <v>50</v>
      </c>
      <c r="J22" s="10">
        <f t="shared" si="1"/>
        <v>-0.95000000000000007</v>
      </c>
      <c r="K22" s="10">
        <f t="shared" si="2"/>
        <v>-0.19</v>
      </c>
      <c r="L22" s="10" t="str">
        <f t="shared" si="4"/>
        <v>PEG</v>
      </c>
      <c r="N22">
        <f t="shared" si="5"/>
        <v>-1.9000000000000001</v>
      </c>
      <c r="O22">
        <f t="shared" si="11"/>
        <v>-0.38</v>
      </c>
      <c r="P22">
        <f t="shared" si="12"/>
        <v>2</v>
      </c>
      <c r="Q22">
        <f t="shared" si="13"/>
        <v>1</v>
      </c>
      <c r="R22">
        <f t="shared" si="14"/>
        <v>0</v>
      </c>
      <c r="S22">
        <f t="shared" si="15"/>
        <v>1</v>
      </c>
    </row>
    <row r="23" spans="1:19" x14ac:dyDescent="0.25">
      <c r="A23">
        <v>22</v>
      </c>
      <c r="B23" t="s">
        <v>61</v>
      </c>
      <c r="C23">
        <v>3.3000000000000003</v>
      </c>
      <c r="D23">
        <v>0.66000000000000014</v>
      </c>
      <c r="E23">
        <v>6</v>
      </c>
      <c r="F23">
        <v>3</v>
      </c>
      <c r="G23">
        <v>0</v>
      </c>
      <c r="H23">
        <v>3</v>
      </c>
      <c r="I23" s="7">
        <f t="shared" si="0"/>
        <v>50</v>
      </c>
      <c r="J23" s="10">
        <f t="shared" si="1"/>
        <v>0.55000000000000004</v>
      </c>
      <c r="K23" s="10">
        <f t="shared" si="2"/>
        <v>0.11000000000000003</v>
      </c>
      <c r="L23" s="10" t="str">
        <f t="shared" si="4"/>
        <v>PEG</v>
      </c>
      <c r="N23">
        <f t="shared" si="5"/>
        <v>3.3000000000000003</v>
      </c>
      <c r="O23">
        <f t="shared" si="11"/>
        <v>0.66000000000000014</v>
      </c>
      <c r="P23">
        <f t="shared" si="12"/>
        <v>6</v>
      </c>
      <c r="Q23">
        <f t="shared" si="13"/>
        <v>3</v>
      </c>
      <c r="R23">
        <f t="shared" si="14"/>
        <v>0</v>
      </c>
      <c r="S23">
        <f t="shared" si="15"/>
        <v>3</v>
      </c>
    </row>
    <row r="24" spans="1:19" x14ac:dyDescent="0.25">
      <c r="A24">
        <v>23</v>
      </c>
      <c r="B24" t="s">
        <v>104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 s="7">
        <f t="shared" si="0"/>
        <v>0</v>
      </c>
      <c r="J24" s="10">
        <f t="shared" si="1"/>
        <v>0</v>
      </c>
      <c r="K24" s="10">
        <f t="shared" si="2"/>
        <v>0</v>
      </c>
      <c r="L24" s="10" t="str">
        <f t="shared" si="4"/>
        <v>PEG</v>
      </c>
      <c r="N24">
        <f t="shared" si="5"/>
        <v>0</v>
      </c>
      <c r="O24">
        <f t="shared" si="11"/>
        <v>0</v>
      </c>
      <c r="P24">
        <f t="shared" si="12"/>
        <v>0</v>
      </c>
      <c r="Q24">
        <f t="shared" si="13"/>
        <v>0</v>
      </c>
      <c r="R24">
        <f t="shared" si="14"/>
        <v>0</v>
      </c>
      <c r="S24">
        <f t="shared" si="15"/>
        <v>0</v>
      </c>
    </row>
    <row r="25" spans="1:19" x14ac:dyDescent="0.25">
      <c r="A25">
        <v>24</v>
      </c>
      <c r="B25" t="s">
        <v>106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 s="7">
        <f t="shared" si="0"/>
        <v>0</v>
      </c>
      <c r="J25" s="10">
        <f t="shared" si="1"/>
        <v>0</v>
      </c>
      <c r="K25" s="10">
        <f t="shared" si="2"/>
        <v>0</v>
      </c>
      <c r="L25" s="10" t="str">
        <f t="shared" si="4"/>
        <v>PEG</v>
      </c>
      <c r="N25">
        <f t="shared" si="5"/>
        <v>0</v>
      </c>
      <c r="O25">
        <f t="shared" si="11"/>
        <v>0</v>
      </c>
      <c r="P25">
        <f t="shared" si="12"/>
        <v>0</v>
      </c>
      <c r="Q25">
        <f t="shared" si="13"/>
        <v>0</v>
      </c>
      <c r="R25">
        <f t="shared" si="14"/>
        <v>0</v>
      </c>
      <c r="S25">
        <f t="shared" si="15"/>
        <v>0</v>
      </c>
    </row>
    <row r="26" spans="1:19" x14ac:dyDescent="0.25">
      <c r="A26">
        <v>25</v>
      </c>
      <c r="B26" t="s">
        <v>107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s="7">
        <f t="shared" si="0"/>
        <v>0</v>
      </c>
      <c r="J26" s="10">
        <f t="shared" si="1"/>
        <v>0</v>
      </c>
      <c r="K26" s="10">
        <f t="shared" si="2"/>
        <v>0</v>
      </c>
      <c r="L26" s="10" t="str">
        <f t="shared" si="4"/>
        <v>PEG</v>
      </c>
      <c r="N26">
        <f t="shared" si="5"/>
        <v>0</v>
      </c>
      <c r="O26">
        <f t="shared" si="11"/>
        <v>0</v>
      </c>
      <c r="P26">
        <f t="shared" si="12"/>
        <v>0</v>
      </c>
      <c r="Q26">
        <f t="shared" si="13"/>
        <v>0</v>
      </c>
      <c r="R26">
        <f t="shared" si="14"/>
        <v>0</v>
      </c>
      <c r="S26">
        <f t="shared" si="15"/>
        <v>0</v>
      </c>
    </row>
    <row r="27" spans="1:19" x14ac:dyDescent="0.25">
      <c r="A27">
        <v>26</v>
      </c>
      <c r="B27" t="s">
        <v>65</v>
      </c>
      <c r="C27">
        <v>64.3</v>
      </c>
      <c r="D27">
        <v>12.860000000000003</v>
      </c>
      <c r="E27">
        <v>28</v>
      </c>
      <c r="F27">
        <v>18</v>
      </c>
      <c r="G27">
        <v>0</v>
      </c>
      <c r="H27">
        <v>10</v>
      </c>
      <c r="I27" s="7">
        <f t="shared" si="0"/>
        <v>64.285714285714292</v>
      </c>
      <c r="J27" s="10">
        <f t="shared" si="1"/>
        <v>2.2964285714285713</v>
      </c>
      <c r="K27" s="10">
        <f t="shared" si="2"/>
        <v>0.45928571428571441</v>
      </c>
      <c r="L27" s="10" t="str">
        <f t="shared" si="4"/>
        <v>PEG</v>
      </c>
      <c r="N27">
        <f t="shared" si="5"/>
        <v>64.3</v>
      </c>
      <c r="O27">
        <f t="shared" si="11"/>
        <v>12.860000000000003</v>
      </c>
      <c r="P27">
        <f t="shared" si="12"/>
        <v>28</v>
      </c>
      <c r="Q27">
        <f t="shared" si="13"/>
        <v>18</v>
      </c>
      <c r="R27">
        <f t="shared" si="14"/>
        <v>0</v>
      </c>
      <c r="S27">
        <f t="shared" si="15"/>
        <v>10</v>
      </c>
    </row>
    <row r="28" spans="1:19" x14ac:dyDescent="0.25">
      <c r="A28">
        <v>27</v>
      </c>
      <c r="B28" t="s">
        <v>114</v>
      </c>
      <c r="C28">
        <v>-1.3</v>
      </c>
      <c r="D28">
        <v>-0.26</v>
      </c>
      <c r="E28">
        <v>1</v>
      </c>
      <c r="F28">
        <v>0</v>
      </c>
      <c r="G28">
        <v>0</v>
      </c>
      <c r="H28">
        <v>1</v>
      </c>
      <c r="I28" s="7">
        <f t="shared" si="0"/>
        <v>0</v>
      </c>
      <c r="J28" s="10">
        <f t="shared" si="1"/>
        <v>-1.3</v>
      </c>
      <c r="K28" s="10">
        <f t="shared" si="2"/>
        <v>-0.26</v>
      </c>
      <c r="L28" s="10" t="str">
        <f t="shared" si="4"/>
        <v>PEG</v>
      </c>
      <c r="N28">
        <f t="shared" si="5"/>
        <v>-1.3</v>
      </c>
      <c r="O28">
        <f t="shared" si="11"/>
        <v>-0.26</v>
      </c>
      <c r="P28">
        <f t="shared" si="12"/>
        <v>1</v>
      </c>
      <c r="Q28">
        <f t="shared" si="13"/>
        <v>0</v>
      </c>
      <c r="R28">
        <f t="shared" si="14"/>
        <v>0</v>
      </c>
      <c r="S28">
        <f t="shared" si="15"/>
        <v>1</v>
      </c>
    </row>
    <row r="29" spans="1:19" x14ac:dyDescent="0.25">
      <c r="A29">
        <v>28</v>
      </c>
      <c r="B29" t="s">
        <v>59</v>
      </c>
      <c r="C29">
        <v>-40</v>
      </c>
      <c r="D29">
        <v>-8</v>
      </c>
      <c r="E29">
        <v>11</v>
      </c>
      <c r="F29">
        <v>3</v>
      </c>
      <c r="G29">
        <v>1</v>
      </c>
      <c r="H29">
        <v>7</v>
      </c>
      <c r="I29" s="7">
        <f t="shared" si="0"/>
        <v>27.27272727272727</v>
      </c>
      <c r="J29" s="10">
        <f t="shared" si="1"/>
        <v>-3.6363636363636362</v>
      </c>
      <c r="K29" s="10">
        <f t="shared" si="2"/>
        <v>-0.72727272727272729</v>
      </c>
      <c r="L29" s="10" t="str">
        <f t="shared" si="4"/>
        <v>PEG</v>
      </c>
      <c r="N29">
        <f t="shared" si="5"/>
        <v>-40</v>
      </c>
      <c r="O29">
        <f t="shared" si="11"/>
        <v>-8</v>
      </c>
      <c r="P29">
        <f t="shared" si="12"/>
        <v>11</v>
      </c>
      <c r="Q29">
        <f t="shared" si="13"/>
        <v>3</v>
      </c>
      <c r="R29">
        <f t="shared" si="14"/>
        <v>1</v>
      </c>
      <c r="S29">
        <f t="shared" si="15"/>
        <v>7</v>
      </c>
    </row>
    <row r="30" spans="1:19" x14ac:dyDescent="0.25">
      <c r="A30">
        <v>29</v>
      </c>
      <c r="B30" t="s">
        <v>112</v>
      </c>
      <c r="C30">
        <v>-9.1</v>
      </c>
      <c r="D30">
        <v>-1.82</v>
      </c>
      <c r="E30">
        <v>5</v>
      </c>
      <c r="F30">
        <v>1</v>
      </c>
      <c r="G30">
        <v>0</v>
      </c>
      <c r="H30">
        <v>4</v>
      </c>
      <c r="I30" s="7">
        <f t="shared" si="0"/>
        <v>20</v>
      </c>
      <c r="J30" s="10">
        <f t="shared" si="1"/>
        <v>-1.8199999999999998</v>
      </c>
      <c r="K30" s="10">
        <f t="shared" si="2"/>
        <v>-0.36399999999999999</v>
      </c>
      <c r="L30" s="10" t="str">
        <f t="shared" si="4"/>
        <v>PEG</v>
      </c>
      <c r="N30">
        <f t="shared" si="5"/>
        <v>-9.1</v>
      </c>
      <c r="O30">
        <f t="shared" si="11"/>
        <v>-1.82</v>
      </c>
      <c r="P30">
        <f t="shared" si="12"/>
        <v>5</v>
      </c>
      <c r="Q30">
        <f t="shared" si="13"/>
        <v>1</v>
      </c>
      <c r="R30">
        <f t="shared" si="14"/>
        <v>0</v>
      </c>
      <c r="S30">
        <f t="shared" si="15"/>
        <v>4</v>
      </c>
    </row>
    <row r="31" spans="1:19" x14ac:dyDescent="0.25">
      <c r="A31">
        <v>30</v>
      </c>
      <c r="B31" t="s">
        <v>110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 s="7">
        <f t="shared" si="0"/>
        <v>0</v>
      </c>
      <c r="J31" s="10">
        <f t="shared" si="1"/>
        <v>0</v>
      </c>
      <c r="K31" s="10">
        <f t="shared" si="2"/>
        <v>0</v>
      </c>
      <c r="L31" s="10" t="str">
        <f t="shared" si="4"/>
        <v>PEG</v>
      </c>
      <c r="N31">
        <f t="shared" si="5"/>
        <v>0</v>
      </c>
      <c r="O31">
        <f t="shared" si="11"/>
        <v>0</v>
      </c>
      <c r="P31">
        <f t="shared" si="12"/>
        <v>0</v>
      </c>
      <c r="Q31">
        <f t="shared" si="13"/>
        <v>0</v>
      </c>
      <c r="R31">
        <f t="shared" si="14"/>
        <v>0</v>
      </c>
      <c r="S31">
        <f t="shared" si="15"/>
        <v>0</v>
      </c>
    </row>
    <row r="32" spans="1:19" x14ac:dyDescent="0.25">
      <c r="A32">
        <v>31</v>
      </c>
      <c r="B32" t="s">
        <v>108</v>
      </c>
      <c r="C32">
        <v>-6.2</v>
      </c>
      <c r="D32">
        <v>-1.24</v>
      </c>
      <c r="E32">
        <v>5</v>
      </c>
      <c r="F32">
        <v>3</v>
      </c>
      <c r="G32">
        <v>1</v>
      </c>
      <c r="H32">
        <v>1</v>
      </c>
      <c r="I32" s="7">
        <f t="shared" si="0"/>
        <v>60</v>
      </c>
      <c r="J32" s="10">
        <f t="shared" si="1"/>
        <v>-1.24</v>
      </c>
      <c r="K32" s="10">
        <f t="shared" si="2"/>
        <v>-0.248</v>
      </c>
      <c r="L32" s="10" t="str">
        <f t="shared" si="4"/>
        <v>PEG</v>
      </c>
      <c r="N32">
        <f t="shared" si="5"/>
        <v>-6.2</v>
      </c>
      <c r="O32">
        <f t="shared" si="11"/>
        <v>-1.24</v>
      </c>
      <c r="P32">
        <f t="shared" si="12"/>
        <v>5</v>
      </c>
      <c r="Q32">
        <f t="shared" si="13"/>
        <v>3</v>
      </c>
      <c r="R32">
        <f t="shared" si="14"/>
        <v>1</v>
      </c>
      <c r="S32">
        <f t="shared" si="15"/>
        <v>1</v>
      </c>
    </row>
    <row r="33" spans="1:19" x14ac:dyDescent="0.25">
      <c r="A33">
        <v>32</v>
      </c>
      <c r="B33" t="s">
        <v>111</v>
      </c>
      <c r="C33">
        <v>-1.3000000000000007</v>
      </c>
      <c r="D33">
        <v>-0.26000000000000023</v>
      </c>
      <c r="E33">
        <v>5</v>
      </c>
      <c r="F33">
        <v>3</v>
      </c>
      <c r="G33">
        <v>0</v>
      </c>
      <c r="H33">
        <v>2</v>
      </c>
      <c r="I33" s="7">
        <f t="shared" si="0"/>
        <v>60</v>
      </c>
      <c r="J33" s="10">
        <f t="shared" si="1"/>
        <v>-0.26000000000000012</v>
      </c>
      <c r="K33" s="10">
        <f t="shared" si="2"/>
        <v>-5.2000000000000046E-2</v>
      </c>
      <c r="L33" s="10" t="str">
        <f t="shared" si="4"/>
        <v>PEG</v>
      </c>
      <c r="N33">
        <f t="shared" si="5"/>
        <v>-1.3000000000000007</v>
      </c>
      <c r="O33">
        <f t="shared" si="11"/>
        <v>-0.26000000000000023</v>
      </c>
      <c r="P33">
        <f t="shared" si="12"/>
        <v>5</v>
      </c>
      <c r="Q33">
        <f t="shared" si="13"/>
        <v>3</v>
      </c>
      <c r="R33">
        <f t="shared" si="14"/>
        <v>0</v>
      </c>
      <c r="S33">
        <f t="shared" si="15"/>
        <v>2</v>
      </c>
    </row>
    <row r="34" spans="1:19" x14ac:dyDescent="0.25">
      <c r="A34">
        <v>33</v>
      </c>
      <c r="B34" t="s">
        <v>113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 s="7">
        <f t="shared" ref="I34:I65" si="16">IFERROR((F34/E34)*100,0)</f>
        <v>0</v>
      </c>
      <c r="J34" s="10">
        <f t="shared" ref="J34:J65" si="17">IFERROR(C34/E34,0)</f>
        <v>0</v>
      </c>
      <c r="K34" s="10">
        <f t="shared" ref="K34:K65" si="18">IFERROR(D34/E34,0)</f>
        <v>0</v>
      </c>
      <c r="L34" s="10" t="str">
        <f t="shared" si="4"/>
        <v>PEG</v>
      </c>
      <c r="N34">
        <f t="shared" si="5"/>
        <v>0</v>
      </c>
      <c r="O34">
        <f t="shared" si="11"/>
        <v>0</v>
      </c>
      <c r="P34">
        <f t="shared" si="12"/>
        <v>0</v>
      </c>
      <c r="Q34">
        <f t="shared" si="13"/>
        <v>0</v>
      </c>
      <c r="R34">
        <f t="shared" si="14"/>
        <v>0</v>
      </c>
      <c r="S34">
        <f t="shared" si="15"/>
        <v>0</v>
      </c>
    </row>
    <row r="35" spans="1:19" x14ac:dyDescent="0.25">
      <c r="A35">
        <v>34</v>
      </c>
      <c r="B35" t="s">
        <v>115</v>
      </c>
      <c r="C35">
        <v>-3.8000000000000007</v>
      </c>
      <c r="D35">
        <v>-0.76000000000000023</v>
      </c>
      <c r="E35">
        <v>5</v>
      </c>
      <c r="F35">
        <v>2</v>
      </c>
      <c r="G35">
        <v>0</v>
      </c>
      <c r="H35">
        <v>3</v>
      </c>
      <c r="I35" s="7">
        <f t="shared" si="16"/>
        <v>40</v>
      </c>
      <c r="J35" s="10">
        <f t="shared" si="17"/>
        <v>-0.76000000000000012</v>
      </c>
      <c r="K35" s="10">
        <f t="shared" si="18"/>
        <v>-0.15200000000000005</v>
      </c>
      <c r="L35" s="10" t="str">
        <f t="shared" si="4"/>
        <v>PEG</v>
      </c>
      <c r="N35">
        <f t="shared" si="5"/>
        <v>-3.8000000000000007</v>
      </c>
      <c r="O35">
        <f t="shared" si="11"/>
        <v>-0.76000000000000023</v>
      </c>
      <c r="P35">
        <f t="shared" si="12"/>
        <v>5</v>
      </c>
      <c r="Q35">
        <f t="shared" si="13"/>
        <v>2</v>
      </c>
      <c r="R35">
        <f t="shared" si="14"/>
        <v>0</v>
      </c>
      <c r="S35">
        <f t="shared" si="15"/>
        <v>3</v>
      </c>
    </row>
    <row r="36" spans="1:19" x14ac:dyDescent="0.25">
      <c r="A36">
        <v>35</v>
      </c>
      <c r="B36" t="s">
        <v>101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 s="7">
        <f t="shared" si="16"/>
        <v>0</v>
      </c>
      <c r="J36" s="10">
        <f t="shared" si="17"/>
        <v>0</v>
      </c>
      <c r="K36" s="10">
        <f t="shared" si="18"/>
        <v>0</v>
      </c>
      <c r="L36" s="10" t="str">
        <f t="shared" si="4"/>
        <v>PEG</v>
      </c>
      <c r="N36">
        <f t="shared" si="5"/>
        <v>0</v>
      </c>
      <c r="O36">
        <f t="shared" si="11"/>
        <v>0</v>
      </c>
      <c r="P36">
        <f t="shared" si="12"/>
        <v>0</v>
      </c>
      <c r="Q36">
        <f t="shared" si="13"/>
        <v>0</v>
      </c>
      <c r="R36">
        <f t="shared" si="14"/>
        <v>0</v>
      </c>
      <c r="S36">
        <f t="shared" si="15"/>
        <v>0</v>
      </c>
    </row>
    <row r="37" spans="1:19" x14ac:dyDescent="0.25">
      <c r="A37">
        <v>36</v>
      </c>
      <c r="B37" t="s">
        <v>84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 s="7">
        <f t="shared" si="16"/>
        <v>0</v>
      </c>
      <c r="J37" s="10">
        <f t="shared" si="17"/>
        <v>0</v>
      </c>
      <c r="K37" s="10">
        <f t="shared" si="18"/>
        <v>0</v>
      </c>
      <c r="L37" s="10" t="str">
        <f t="shared" si="4"/>
        <v>PEG</v>
      </c>
      <c r="N37">
        <f t="shared" si="5"/>
        <v>0</v>
      </c>
      <c r="O37">
        <f t="shared" si="11"/>
        <v>0</v>
      </c>
      <c r="P37">
        <f t="shared" si="12"/>
        <v>0</v>
      </c>
      <c r="Q37">
        <f t="shared" si="13"/>
        <v>0</v>
      </c>
      <c r="R37">
        <f t="shared" si="14"/>
        <v>0</v>
      </c>
      <c r="S37">
        <f t="shared" si="15"/>
        <v>0</v>
      </c>
    </row>
    <row r="38" spans="1:19" x14ac:dyDescent="0.25">
      <c r="A38">
        <v>37</v>
      </c>
      <c r="B38" t="s">
        <v>76</v>
      </c>
      <c r="C38">
        <v>0</v>
      </c>
      <c r="D38">
        <v>0</v>
      </c>
      <c r="E38">
        <v>2</v>
      </c>
      <c r="F38">
        <v>1</v>
      </c>
      <c r="G38">
        <v>0</v>
      </c>
      <c r="H38">
        <v>1</v>
      </c>
      <c r="I38" s="7">
        <f t="shared" si="16"/>
        <v>50</v>
      </c>
      <c r="J38" s="10">
        <f t="shared" si="17"/>
        <v>0</v>
      </c>
      <c r="K38" s="10">
        <f t="shared" si="18"/>
        <v>0</v>
      </c>
      <c r="L38" s="10" t="str">
        <f t="shared" si="4"/>
        <v>PEG</v>
      </c>
      <c r="N38">
        <f t="shared" si="5"/>
        <v>0</v>
      </c>
      <c r="O38">
        <f t="shared" si="11"/>
        <v>0</v>
      </c>
      <c r="P38">
        <f t="shared" si="12"/>
        <v>2</v>
      </c>
      <c r="Q38">
        <f t="shared" si="13"/>
        <v>1</v>
      </c>
      <c r="R38">
        <f t="shared" si="14"/>
        <v>0</v>
      </c>
      <c r="S38">
        <f t="shared" si="15"/>
        <v>1</v>
      </c>
    </row>
    <row r="39" spans="1:19" x14ac:dyDescent="0.25">
      <c r="A39">
        <v>38</v>
      </c>
      <c r="B39" t="s">
        <v>63</v>
      </c>
      <c r="C39">
        <v>6</v>
      </c>
      <c r="D39">
        <v>1.2</v>
      </c>
      <c r="E39">
        <v>4</v>
      </c>
      <c r="F39">
        <v>4</v>
      </c>
      <c r="G39">
        <v>0</v>
      </c>
      <c r="H39">
        <v>0</v>
      </c>
      <c r="I39" s="7">
        <f t="shared" si="16"/>
        <v>100</v>
      </c>
      <c r="J39" s="10">
        <f t="shared" si="17"/>
        <v>1.5</v>
      </c>
      <c r="K39" s="10">
        <f t="shared" si="18"/>
        <v>0.3</v>
      </c>
      <c r="L39" s="10" t="str">
        <f t="shared" si="4"/>
        <v>PEG</v>
      </c>
      <c r="N39">
        <f t="shared" si="5"/>
        <v>6</v>
      </c>
      <c r="O39">
        <f t="shared" si="11"/>
        <v>1.2</v>
      </c>
      <c r="P39">
        <f t="shared" si="12"/>
        <v>4</v>
      </c>
      <c r="Q39">
        <f t="shared" si="13"/>
        <v>4</v>
      </c>
      <c r="R39">
        <f t="shared" si="14"/>
        <v>0</v>
      </c>
      <c r="S39">
        <f t="shared" si="15"/>
        <v>0</v>
      </c>
    </row>
    <row r="40" spans="1:19" x14ac:dyDescent="0.25">
      <c r="A40">
        <v>39</v>
      </c>
      <c r="B40" t="s">
        <v>77</v>
      </c>
      <c r="C40">
        <v>-6.5</v>
      </c>
      <c r="D40">
        <v>-1.2999999999999998</v>
      </c>
      <c r="E40">
        <v>4</v>
      </c>
      <c r="F40">
        <v>1</v>
      </c>
      <c r="G40">
        <v>0</v>
      </c>
      <c r="H40">
        <v>3</v>
      </c>
      <c r="I40" s="7">
        <f t="shared" si="16"/>
        <v>25</v>
      </c>
      <c r="J40" s="10">
        <f t="shared" si="17"/>
        <v>-1.625</v>
      </c>
      <c r="K40" s="10">
        <f t="shared" si="18"/>
        <v>-0.32499999999999996</v>
      </c>
      <c r="L40" s="10" t="str">
        <f t="shared" si="4"/>
        <v>PEG</v>
      </c>
      <c r="N40">
        <f t="shared" si="5"/>
        <v>-6.5</v>
      </c>
      <c r="O40">
        <f t="shared" si="11"/>
        <v>-1.2999999999999998</v>
      </c>
      <c r="P40">
        <f t="shared" si="12"/>
        <v>4</v>
      </c>
      <c r="Q40">
        <f t="shared" si="13"/>
        <v>1</v>
      </c>
      <c r="R40">
        <f t="shared" si="14"/>
        <v>0</v>
      </c>
      <c r="S40">
        <f t="shared" si="15"/>
        <v>3</v>
      </c>
    </row>
    <row r="41" spans="1:19" x14ac:dyDescent="0.25">
      <c r="A41">
        <v>40</v>
      </c>
      <c r="B41" t="s">
        <v>102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 s="7">
        <f t="shared" si="16"/>
        <v>0</v>
      </c>
      <c r="J41" s="10">
        <f t="shared" si="17"/>
        <v>0</v>
      </c>
      <c r="K41" s="10">
        <f t="shared" si="18"/>
        <v>0</v>
      </c>
      <c r="L41" s="10" t="str">
        <f t="shared" si="4"/>
        <v>PEG</v>
      </c>
      <c r="N41">
        <f t="shared" si="5"/>
        <v>0</v>
      </c>
      <c r="O41">
        <f t="shared" si="11"/>
        <v>0</v>
      </c>
      <c r="P41">
        <f t="shared" si="12"/>
        <v>0</v>
      </c>
      <c r="Q41">
        <f t="shared" si="13"/>
        <v>0</v>
      </c>
      <c r="R41">
        <f t="shared" si="14"/>
        <v>0</v>
      </c>
      <c r="S41">
        <f t="shared" si="15"/>
        <v>0</v>
      </c>
    </row>
    <row r="42" spans="1:19" x14ac:dyDescent="0.25">
      <c r="A42">
        <v>41</v>
      </c>
      <c r="B42" t="s">
        <v>103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 s="7">
        <f t="shared" si="16"/>
        <v>0</v>
      </c>
      <c r="J42" s="10">
        <f t="shared" si="17"/>
        <v>0</v>
      </c>
      <c r="K42" s="10">
        <f t="shared" si="18"/>
        <v>0</v>
      </c>
      <c r="L42" s="10" t="str">
        <f t="shared" si="4"/>
        <v>PEG</v>
      </c>
      <c r="N42">
        <f t="shared" si="5"/>
        <v>0</v>
      </c>
      <c r="O42">
        <f t="shared" si="11"/>
        <v>0</v>
      </c>
      <c r="P42">
        <f t="shared" si="12"/>
        <v>0</v>
      </c>
      <c r="Q42">
        <f t="shared" si="13"/>
        <v>0</v>
      </c>
      <c r="R42">
        <f t="shared" si="14"/>
        <v>0</v>
      </c>
      <c r="S42">
        <f t="shared" si="15"/>
        <v>0</v>
      </c>
    </row>
    <row r="43" spans="1:19" x14ac:dyDescent="0.25">
      <c r="A43">
        <v>42</v>
      </c>
      <c r="B43" t="s">
        <v>109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 s="7">
        <f t="shared" si="16"/>
        <v>0</v>
      </c>
      <c r="J43" s="10">
        <f t="shared" si="17"/>
        <v>0</v>
      </c>
      <c r="K43" s="10">
        <f t="shared" si="18"/>
        <v>0</v>
      </c>
      <c r="L43" s="10" t="str">
        <f t="shared" si="4"/>
        <v>SEG</v>
      </c>
      <c r="N43">
        <f t="shared" si="5"/>
        <v>0</v>
      </c>
      <c r="O43">
        <f t="shared" si="11"/>
        <v>0</v>
      </c>
      <c r="P43">
        <f t="shared" si="12"/>
        <v>0</v>
      </c>
      <c r="Q43">
        <f t="shared" si="13"/>
        <v>0</v>
      </c>
      <c r="R43">
        <f t="shared" si="14"/>
        <v>0</v>
      </c>
      <c r="S43">
        <f t="shared" si="15"/>
        <v>0</v>
      </c>
    </row>
    <row r="44" spans="1:19" x14ac:dyDescent="0.25">
      <c r="A44">
        <v>43</v>
      </c>
      <c r="B44" t="s">
        <v>74</v>
      </c>
      <c r="C44">
        <v>1.9000000000000004</v>
      </c>
      <c r="D44">
        <v>0.37999999999999989</v>
      </c>
      <c r="E44">
        <v>5</v>
      </c>
      <c r="F44">
        <v>3</v>
      </c>
      <c r="G44">
        <v>0</v>
      </c>
      <c r="H44">
        <v>2</v>
      </c>
      <c r="I44" s="7">
        <f t="shared" si="16"/>
        <v>60</v>
      </c>
      <c r="J44" s="10">
        <f t="shared" si="17"/>
        <v>0.38000000000000006</v>
      </c>
      <c r="K44" s="10">
        <f t="shared" si="18"/>
        <v>7.5999999999999984E-2</v>
      </c>
      <c r="L44" s="10" t="str">
        <f t="shared" si="4"/>
        <v>SEG</v>
      </c>
      <c r="N44">
        <f t="shared" si="5"/>
        <v>1.9000000000000004</v>
      </c>
      <c r="O44">
        <f t="shared" si="11"/>
        <v>0.37999999999999989</v>
      </c>
      <c r="P44">
        <f t="shared" si="12"/>
        <v>5</v>
      </c>
      <c r="Q44">
        <f t="shared" si="13"/>
        <v>3</v>
      </c>
      <c r="R44">
        <f t="shared" si="14"/>
        <v>0</v>
      </c>
      <c r="S44">
        <f t="shared" si="15"/>
        <v>2</v>
      </c>
    </row>
    <row r="45" spans="1:19" x14ac:dyDescent="0.25">
      <c r="A45">
        <v>44</v>
      </c>
      <c r="B45" t="s">
        <v>147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7">
        <f t="shared" si="16"/>
        <v>0</v>
      </c>
      <c r="J45" s="10">
        <f t="shared" si="17"/>
        <v>0</v>
      </c>
      <c r="K45" s="10">
        <f t="shared" si="18"/>
        <v>0</v>
      </c>
      <c r="L45" s="10" t="str">
        <f t="shared" si="4"/>
        <v>UEG</v>
      </c>
      <c r="N45">
        <f t="shared" si="5"/>
        <v>0</v>
      </c>
      <c r="O45">
        <f t="shared" si="11"/>
        <v>0</v>
      </c>
      <c r="P45">
        <f t="shared" si="12"/>
        <v>0</v>
      </c>
      <c r="Q45">
        <f t="shared" si="13"/>
        <v>0</v>
      </c>
      <c r="R45">
        <f t="shared" si="14"/>
        <v>0</v>
      </c>
      <c r="S45">
        <f t="shared" si="15"/>
        <v>0</v>
      </c>
    </row>
    <row r="46" spans="1:19" x14ac:dyDescent="0.25">
      <c r="A46">
        <v>45</v>
      </c>
      <c r="B46" t="s">
        <v>54</v>
      </c>
      <c r="C46">
        <v>-12</v>
      </c>
      <c r="D46">
        <v>-2.4</v>
      </c>
      <c r="E46">
        <v>2</v>
      </c>
      <c r="F46">
        <v>0</v>
      </c>
      <c r="G46">
        <v>0</v>
      </c>
      <c r="H46">
        <v>2</v>
      </c>
      <c r="I46" s="7">
        <f t="shared" si="16"/>
        <v>0</v>
      </c>
      <c r="J46" s="10">
        <f t="shared" si="17"/>
        <v>-6</v>
      </c>
      <c r="K46" s="10">
        <f t="shared" si="18"/>
        <v>-1.2</v>
      </c>
      <c r="L46" s="10" t="str">
        <f t="shared" si="4"/>
        <v>UEG</v>
      </c>
      <c r="N46">
        <f t="shared" si="5"/>
        <v>-12</v>
      </c>
      <c r="O46">
        <f t="shared" si="11"/>
        <v>-2.4</v>
      </c>
      <c r="P46">
        <f t="shared" si="12"/>
        <v>2</v>
      </c>
      <c r="Q46">
        <f t="shared" si="13"/>
        <v>0</v>
      </c>
      <c r="R46">
        <f t="shared" si="14"/>
        <v>0</v>
      </c>
      <c r="S46">
        <f t="shared" si="15"/>
        <v>2</v>
      </c>
    </row>
    <row r="47" spans="1:19" x14ac:dyDescent="0.25">
      <c r="A47">
        <v>46</v>
      </c>
      <c r="B47" t="s">
        <v>70</v>
      </c>
      <c r="C47">
        <v>-2.9000000000000004</v>
      </c>
      <c r="D47">
        <v>-0.58000000000000007</v>
      </c>
      <c r="E47">
        <v>5</v>
      </c>
      <c r="F47">
        <v>3</v>
      </c>
      <c r="G47">
        <v>0</v>
      </c>
      <c r="H47">
        <v>2</v>
      </c>
      <c r="I47" s="7">
        <f t="shared" si="16"/>
        <v>60</v>
      </c>
      <c r="J47" s="10">
        <f t="shared" si="17"/>
        <v>-0.58000000000000007</v>
      </c>
      <c r="K47" s="10">
        <f t="shared" si="18"/>
        <v>-0.11600000000000002</v>
      </c>
      <c r="L47" s="10" t="str">
        <f t="shared" si="4"/>
        <v>UEG</v>
      </c>
      <c r="N47">
        <f t="shared" si="5"/>
        <v>-2.9000000000000004</v>
      </c>
      <c r="O47">
        <f t="shared" si="11"/>
        <v>-0.58000000000000007</v>
      </c>
      <c r="P47">
        <f t="shared" si="12"/>
        <v>5</v>
      </c>
      <c r="Q47">
        <f t="shared" si="13"/>
        <v>3</v>
      </c>
      <c r="R47">
        <f t="shared" si="14"/>
        <v>0</v>
      </c>
      <c r="S47">
        <f t="shared" si="15"/>
        <v>2</v>
      </c>
    </row>
    <row r="48" spans="1:19" x14ac:dyDescent="0.25">
      <c r="A48">
        <v>47</v>
      </c>
      <c r="B48" t="s">
        <v>92</v>
      </c>
      <c r="C48">
        <v>-4.4000000000000004</v>
      </c>
      <c r="D48">
        <v>-0.88</v>
      </c>
      <c r="E48">
        <v>3</v>
      </c>
      <c r="F48">
        <v>1</v>
      </c>
      <c r="G48">
        <v>0</v>
      </c>
      <c r="H48">
        <v>2</v>
      </c>
      <c r="I48" s="7">
        <f t="shared" si="16"/>
        <v>33.333333333333329</v>
      </c>
      <c r="J48" s="10">
        <f t="shared" si="17"/>
        <v>-1.4666666666666668</v>
      </c>
      <c r="K48" s="10">
        <f t="shared" si="18"/>
        <v>-0.29333333333333333</v>
      </c>
      <c r="L48" s="10" t="str">
        <f t="shared" si="4"/>
        <v>UEG</v>
      </c>
      <c r="N48">
        <f t="shared" si="5"/>
        <v>-4.4000000000000004</v>
      </c>
      <c r="O48">
        <f t="shared" si="11"/>
        <v>-0.88</v>
      </c>
      <c r="P48">
        <f t="shared" si="12"/>
        <v>3</v>
      </c>
      <c r="Q48">
        <f t="shared" si="13"/>
        <v>1</v>
      </c>
      <c r="R48">
        <f t="shared" ref="R48:R65" si="19">G48+Y48</f>
        <v>0</v>
      </c>
      <c r="S48">
        <f t="shared" ref="S48:S65" si="20">H48+Z48</f>
        <v>2</v>
      </c>
    </row>
    <row r="49" spans="1:19" x14ac:dyDescent="0.25">
      <c r="A49">
        <v>48</v>
      </c>
      <c r="B49" t="s">
        <v>66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 s="7">
        <f t="shared" si="16"/>
        <v>0</v>
      </c>
      <c r="J49" s="10">
        <f t="shared" si="17"/>
        <v>0</v>
      </c>
      <c r="K49" s="10">
        <f t="shared" si="18"/>
        <v>0</v>
      </c>
      <c r="L49" s="10" t="str">
        <f t="shared" si="4"/>
        <v>UEG</v>
      </c>
      <c r="N49">
        <f t="shared" si="5"/>
        <v>0</v>
      </c>
      <c r="O49">
        <f t="shared" si="11"/>
        <v>0</v>
      </c>
      <c r="P49">
        <f t="shared" si="12"/>
        <v>0</v>
      </c>
      <c r="Q49">
        <f t="shared" si="13"/>
        <v>0</v>
      </c>
      <c r="R49">
        <f t="shared" si="19"/>
        <v>0</v>
      </c>
      <c r="S49">
        <f t="shared" si="20"/>
        <v>0</v>
      </c>
    </row>
    <row r="50" spans="1:19" x14ac:dyDescent="0.25">
      <c r="A50">
        <v>49</v>
      </c>
      <c r="B50" t="s">
        <v>91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 s="7">
        <f t="shared" si="16"/>
        <v>0</v>
      </c>
      <c r="J50" s="10">
        <f t="shared" si="17"/>
        <v>0</v>
      </c>
      <c r="K50" s="10">
        <f t="shared" si="18"/>
        <v>0</v>
      </c>
      <c r="L50" s="10" t="str">
        <f t="shared" si="4"/>
        <v>UEG</v>
      </c>
      <c r="N50">
        <f t="shared" si="5"/>
        <v>0</v>
      </c>
      <c r="O50">
        <f t="shared" si="11"/>
        <v>0</v>
      </c>
      <c r="P50">
        <f t="shared" si="12"/>
        <v>0</v>
      </c>
      <c r="Q50">
        <f t="shared" si="13"/>
        <v>0</v>
      </c>
      <c r="R50">
        <f t="shared" si="19"/>
        <v>0</v>
      </c>
      <c r="S50">
        <f t="shared" si="20"/>
        <v>0</v>
      </c>
    </row>
    <row r="51" spans="1:19" x14ac:dyDescent="0.25">
      <c r="A51">
        <v>50</v>
      </c>
      <c r="B51" t="s">
        <v>73</v>
      </c>
      <c r="C51">
        <v>-4.2999999999999989</v>
      </c>
      <c r="D51">
        <v>-0.85999999999999988</v>
      </c>
      <c r="E51">
        <v>5</v>
      </c>
      <c r="F51">
        <v>1</v>
      </c>
      <c r="G51">
        <v>0</v>
      </c>
      <c r="H51">
        <v>4</v>
      </c>
      <c r="I51" s="7">
        <f t="shared" si="16"/>
        <v>20</v>
      </c>
      <c r="J51" s="10">
        <f t="shared" si="17"/>
        <v>-0.85999999999999976</v>
      </c>
      <c r="K51" s="10">
        <f t="shared" si="18"/>
        <v>-0.17199999999999999</v>
      </c>
      <c r="L51" s="10" t="str">
        <f t="shared" si="4"/>
        <v>UEG</v>
      </c>
      <c r="N51">
        <f t="shared" si="5"/>
        <v>-4.2999999999999989</v>
      </c>
      <c r="O51">
        <f t="shared" si="11"/>
        <v>-0.85999999999999988</v>
      </c>
      <c r="P51">
        <f t="shared" si="12"/>
        <v>5</v>
      </c>
      <c r="Q51">
        <f t="shared" si="13"/>
        <v>1</v>
      </c>
      <c r="R51">
        <f t="shared" si="19"/>
        <v>0</v>
      </c>
      <c r="S51">
        <f t="shared" si="20"/>
        <v>4</v>
      </c>
    </row>
    <row r="52" spans="1:19" x14ac:dyDescent="0.25">
      <c r="A52">
        <v>51</v>
      </c>
      <c r="B52" t="s">
        <v>93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7">
        <f t="shared" si="16"/>
        <v>0</v>
      </c>
      <c r="J52" s="10">
        <f t="shared" si="17"/>
        <v>0</v>
      </c>
      <c r="K52" s="10">
        <f t="shared" si="18"/>
        <v>0</v>
      </c>
      <c r="L52" s="10" t="str">
        <f t="shared" si="4"/>
        <v>UEG</v>
      </c>
      <c r="N52">
        <f t="shared" si="5"/>
        <v>0</v>
      </c>
      <c r="O52">
        <f t="shared" si="11"/>
        <v>0</v>
      </c>
      <c r="P52">
        <f t="shared" si="12"/>
        <v>0</v>
      </c>
      <c r="Q52">
        <f t="shared" si="13"/>
        <v>0</v>
      </c>
      <c r="R52">
        <f t="shared" si="19"/>
        <v>0</v>
      </c>
      <c r="S52">
        <f t="shared" si="20"/>
        <v>0</v>
      </c>
    </row>
    <row r="53" spans="1:19" x14ac:dyDescent="0.25">
      <c r="A53">
        <v>52</v>
      </c>
      <c r="B53" t="s">
        <v>68</v>
      </c>
      <c r="C53">
        <v>1.6000000000000014</v>
      </c>
      <c r="D53">
        <v>0.32000000000000006</v>
      </c>
      <c r="E53">
        <v>6</v>
      </c>
      <c r="F53">
        <v>2</v>
      </c>
      <c r="G53">
        <v>0</v>
      </c>
      <c r="H53">
        <v>4</v>
      </c>
      <c r="I53" s="7">
        <f t="shared" si="16"/>
        <v>33.333333333333329</v>
      </c>
      <c r="J53" s="10">
        <f t="shared" si="17"/>
        <v>0.26666666666666689</v>
      </c>
      <c r="K53" s="10">
        <f t="shared" si="18"/>
        <v>5.3333333333333344E-2</v>
      </c>
      <c r="L53" s="10" t="str">
        <f t="shared" si="4"/>
        <v>UEG</v>
      </c>
      <c r="N53">
        <f t="shared" si="5"/>
        <v>1.6000000000000014</v>
      </c>
      <c r="O53">
        <f t="shared" si="11"/>
        <v>0.32000000000000006</v>
      </c>
      <c r="P53">
        <f t="shared" si="12"/>
        <v>6</v>
      </c>
      <c r="Q53">
        <f t="shared" si="13"/>
        <v>2</v>
      </c>
      <c r="R53">
        <f t="shared" si="19"/>
        <v>0</v>
      </c>
      <c r="S53">
        <f t="shared" si="20"/>
        <v>4</v>
      </c>
    </row>
    <row r="54" spans="1:19" x14ac:dyDescent="0.25">
      <c r="A54">
        <v>53</v>
      </c>
      <c r="B54" t="s">
        <v>98</v>
      </c>
      <c r="C54">
        <v>1.0000000000000002</v>
      </c>
      <c r="D54">
        <v>0.2</v>
      </c>
      <c r="E54">
        <v>2</v>
      </c>
      <c r="F54">
        <v>1</v>
      </c>
      <c r="G54">
        <v>0</v>
      </c>
      <c r="H54">
        <v>1</v>
      </c>
      <c r="I54" s="7">
        <f t="shared" si="16"/>
        <v>50</v>
      </c>
      <c r="J54" s="10">
        <f t="shared" si="17"/>
        <v>0.50000000000000011</v>
      </c>
      <c r="K54" s="10">
        <f t="shared" si="18"/>
        <v>0.1</v>
      </c>
      <c r="L54" s="10" t="str">
        <f t="shared" si="4"/>
        <v>UEG</v>
      </c>
      <c r="N54">
        <f t="shared" si="5"/>
        <v>1.0000000000000002</v>
      </c>
      <c r="O54">
        <f t="shared" si="11"/>
        <v>0.2</v>
      </c>
      <c r="P54">
        <f t="shared" si="12"/>
        <v>2</v>
      </c>
      <c r="Q54">
        <f t="shared" si="13"/>
        <v>1</v>
      </c>
      <c r="R54">
        <f t="shared" si="19"/>
        <v>0</v>
      </c>
      <c r="S54">
        <f t="shared" si="20"/>
        <v>1</v>
      </c>
    </row>
    <row r="55" spans="1:19" x14ac:dyDescent="0.25">
      <c r="A55">
        <v>54</v>
      </c>
      <c r="B55" t="s">
        <v>94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 s="7">
        <f t="shared" si="16"/>
        <v>0</v>
      </c>
      <c r="J55" s="10">
        <f t="shared" si="17"/>
        <v>0</v>
      </c>
      <c r="K55" s="10">
        <f t="shared" si="18"/>
        <v>0</v>
      </c>
      <c r="L55" s="10" t="str">
        <f t="shared" si="4"/>
        <v>UEG</v>
      </c>
      <c r="N55">
        <f t="shared" si="5"/>
        <v>0</v>
      </c>
      <c r="O55">
        <f t="shared" si="11"/>
        <v>0</v>
      </c>
      <c r="P55">
        <f t="shared" si="12"/>
        <v>0</v>
      </c>
      <c r="Q55">
        <f t="shared" si="13"/>
        <v>0</v>
      </c>
      <c r="R55">
        <f t="shared" si="19"/>
        <v>0</v>
      </c>
      <c r="S55">
        <f t="shared" si="20"/>
        <v>0</v>
      </c>
    </row>
    <row r="56" spans="1:19" x14ac:dyDescent="0.25">
      <c r="A56">
        <v>55</v>
      </c>
      <c r="B56" t="s">
        <v>95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 s="7">
        <f t="shared" si="16"/>
        <v>0</v>
      </c>
      <c r="J56" s="10">
        <f t="shared" si="17"/>
        <v>0</v>
      </c>
      <c r="K56" s="10">
        <f t="shared" si="18"/>
        <v>0</v>
      </c>
      <c r="L56" s="10" t="str">
        <f t="shared" si="4"/>
        <v>UEG</v>
      </c>
      <c r="N56">
        <f t="shared" si="5"/>
        <v>0</v>
      </c>
      <c r="O56">
        <f t="shared" si="11"/>
        <v>0</v>
      </c>
      <c r="P56">
        <f t="shared" si="12"/>
        <v>0</v>
      </c>
      <c r="Q56">
        <f t="shared" si="13"/>
        <v>0</v>
      </c>
      <c r="R56">
        <f t="shared" si="19"/>
        <v>0</v>
      </c>
      <c r="S56">
        <f t="shared" si="20"/>
        <v>0</v>
      </c>
    </row>
    <row r="57" spans="1:19" x14ac:dyDescent="0.25">
      <c r="A57">
        <v>56</v>
      </c>
      <c r="B57" t="s">
        <v>97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7">
        <f t="shared" si="16"/>
        <v>0</v>
      </c>
      <c r="J57" s="10">
        <f t="shared" si="17"/>
        <v>0</v>
      </c>
      <c r="K57" s="10">
        <f t="shared" si="18"/>
        <v>0</v>
      </c>
      <c r="L57" s="10" t="str">
        <f t="shared" si="4"/>
        <v>UEG</v>
      </c>
      <c r="N57">
        <f t="shared" si="5"/>
        <v>0</v>
      </c>
      <c r="O57">
        <f t="shared" si="11"/>
        <v>0</v>
      </c>
      <c r="P57">
        <f t="shared" si="12"/>
        <v>0</v>
      </c>
      <c r="Q57">
        <f t="shared" si="13"/>
        <v>0</v>
      </c>
      <c r="R57">
        <f t="shared" si="19"/>
        <v>0</v>
      </c>
      <c r="S57">
        <f t="shared" si="20"/>
        <v>0</v>
      </c>
    </row>
    <row r="58" spans="1:19" x14ac:dyDescent="0.25">
      <c r="A58">
        <v>57</v>
      </c>
      <c r="B58" t="s">
        <v>99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7">
        <f t="shared" si="16"/>
        <v>0</v>
      </c>
      <c r="J58" s="10">
        <f t="shared" si="17"/>
        <v>0</v>
      </c>
      <c r="K58" s="10">
        <f t="shared" si="18"/>
        <v>0</v>
      </c>
      <c r="L58" s="10" t="str">
        <f t="shared" si="4"/>
        <v>UEG</v>
      </c>
      <c r="N58">
        <f t="shared" si="5"/>
        <v>0</v>
      </c>
      <c r="O58">
        <f t="shared" si="11"/>
        <v>0</v>
      </c>
      <c r="P58">
        <f t="shared" si="12"/>
        <v>0</v>
      </c>
      <c r="Q58">
        <f t="shared" si="13"/>
        <v>0</v>
      </c>
      <c r="R58">
        <f t="shared" si="19"/>
        <v>0</v>
      </c>
      <c r="S58">
        <f t="shared" si="20"/>
        <v>0</v>
      </c>
    </row>
    <row r="59" spans="1:19" x14ac:dyDescent="0.25">
      <c r="A59">
        <v>58</v>
      </c>
      <c r="B59" t="s">
        <v>96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7">
        <f t="shared" si="16"/>
        <v>0</v>
      </c>
      <c r="J59" s="10">
        <f t="shared" si="17"/>
        <v>0</v>
      </c>
      <c r="K59" s="10">
        <f t="shared" si="18"/>
        <v>0</v>
      </c>
      <c r="L59" s="10" t="str">
        <f t="shared" si="4"/>
        <v>UEG</v>
      </c>
      <c r="N59">
        <f t="shared" si="5"/>
        <v>0</v>
      </c>
      <c r="O59">
        <f t="shared" si="11"/>
        <v>0</v>
      </c>
      <c r="P59">
        <f t="shared" si="12"/>
        <v>0</v>
      </c>
      <c r="Q59">
        <f t="shared" si="13"/>
        <v>0</v>
      </c>
      <c r="R59">
        <f t="shared" si="19"/>
        <v>0</v>
      </c>
      <c r="S59">
        <f t="shared" si="20"/>
        <v>0</v>
      </c>
    </row>
    <row r="60" spans="1:19" x14ac:dyDescent="0.25">
      <c r="A60">
        <v>59</v>
      </c>
      <c r="B60" t="s">
        <v>100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7">
        <f t="shared" si="16"/>
        <v>0</v>
      </c>
      <c r="J60" s="10">
        <f t="shared" si="17"/>
        <v>0</v>
      </c>
      <c r="K60" s="10">
        <f t="shared" si="18"/>
        <v>0</v>
      </c>
      <c r="L60" s="10" t="str">
        <f t="shared" si="4"/>
        <v>UEG</v>
      </c>
      <c r="N60">
        <f t="shared" si="5"/>
        <v>0</v>
      </c>
      <c r="O60">
        <f t="shared" si="11"/>
        <v>0</v>
      </c>
      <c r="P60">
        <f t="shared" si="12"/>
        <v>0</v>
      </c>
      <c r="Q60">
        <f t="shared" si="13"/>
        <v>0</v>
      </c>
      <c r="R60">
        <f t="shared" si="19"/>
        <v>0</v>
      </c>
      <c r="S60">
        <f t="shared" si="20"/>
        <v>0</v>
      </c>
    </row>
    <row r="61" spans="1:19" x14ac:dyDescent="0.25">
      <c r="A61">
        <v>60</v>
      </c>
      <c r="B61" t="s">
        <v>57</v>
      </c>
      <c r="C61">
        <v>-18.100000000000001</v>
      </c>
      <c r="D61">
        <v>-3.6199999999999997</v>
      </c>
      <c r="E61">
        <v>18</v>
      </c>
      <c r="F61">
        <v>9</v>
      </c>
      <c r="G61">
        <v>0</v>
      </c>
      <c r="H61">
        <v>9</v>
      </c>
      <c r="I61" s="7">
        <f t="shared" si="16"/>
        <v>50</v>
      </c>
      <c r="J61" s="10">
        <f t="shared" si="17"/>
        <v>-1.0055555555555555</v>
      </c>
      <c r="K61" s="10">
        <f t="shared" si="18"/>
        <v>-0.2011111111111111</v>
      </c>
      <c r="L61" s="10" t="str">
        <f t="shared" si="4"/>
        <v>VEG</v>
      </c>
      <c r="N61">
        <f t="shared" si="5"/>
        <v>-18.100000000000001</v>
      </c>
      <c r="O61">
        <f t="shared" si="11"/>
        <v>-3.6199999999999997</v>
      </c>
      <c r="P61">
        <f t="shared" si="12"/>
        <v>18</v>
      </c>
      <c r="Q61">
        <f t="shared" si="13"/>
        <v>9</v>
      </c>
      <c r="R61">
        <f t="shared" si="19"/>
        <v>0</v>
      </c>
      <c r="S61">
        <f t="shared" si="20"/>
        <v>9</v>
      </c>
    </row>
    <row r="62" spans="1:19" x14ac:dyDescent="0.25">
      <c r="A62">
        <v>61</v>
      </c>
      <c r="B62" t="s">
        <v>56</v>
      </c>
      <c r="C62">
        <v>27</v>
      </c>
      <c r="D62">
        <v>5.4</v>
      </c>
      <c r="E62">
        <v>30</v>
      </c>
      <c r="F62">
        <v>18</v>
      </c>
      <c r="G62">
        <v>0</v>
      </c>
      <c r="H62">
        <v>12</v>
      </c>
      <c r="I62" s="7">
        <f t="shared" si="16"/>
        <v>60</v>
      </c>
      <c r="J62" s="10">
        <f t="shared" si="17"/>
        <v>0.9</v>
      </c>
      <c r="K62" s="10">
        <f t="shared" si="18"/>
        <v>0.18000000000000002</v>
      </c>
      <c r="L62" s="10" t="str">
        <f t="shared" si="4"/>
        <v>WEG</v>
      </c>
      <c r="N62">
        <f t="shared" si="5"/>
        <v>27</v>
      </c>
      <c r="O62">
        <f t="shared" si="11"/>
        <v>5.4</v>
      </c>
      <c r="P62">
        <f t="shared" si="12"/>
        <v>30</v>
      </c>
      <c r="Q62">
        <f t="shared" si="13"/>
        <v>18</v>
      </c>
      <c r="R62">
        <f t="shared" si="19"/>
        <v>0</v>
      </c>
      <c r="S62">
        <f t="shared" si="20"/>
        <v>12</v>
      </c>
    </row>
    <row r="63" spans="1:19" x14ac:dyDescent="0.25">
      <c r="A63">
        <v>62</v>
      </c>
      <c r="B63" t="s">
        <v>83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 s="7">
        <f t="shared" si="16"/>
        <v>0</v>
      </c>
      <c r="J63" s="10">
        <f t="shared" si="17"/>
        <v>0</v>
      </c>
      <c r="K63" s="10">
        <f t="shared" si="18"/>
        <v>0</v>
      </c>
      <c r="L63" s="10" t="str">
        <f t="shared" si="4"/>
        <v>WEG</v>
      </c>
      <c r="N63">
        <f t="shared" si="5"/>
        <v>0</v>
      </c>
      <c r="O63">
        <f t="shared" si="11"/>
        <v>0</v>
      </c>
      <c r="P63">
        <f t="shared" si="12"/>
        <v>0</v>
      </c>
      <c r="Q63">
        <f t="shared" si="13"/>
        <v>0</v>
      </c>
      <c r="R63">
        <f t="shared" si="19"/>
        <v>0</v>
      </c>
      <c r="S63">
        <f t="shared" si="20"/>
        <v>0</v>
      </c>
    </row>
    <row r="64" spans="1:19" x14ac:dyDescent="0.25">
      <c r="A64">
        <v>63</v>
      </c>
      <c r="B64" t="s">
        <v>58</v>
      </c>
      <c r="C64">
        <v>17.5</v>
      </c>
      <c r="D64">
        <v>3.4999999999999996</v>
      </c>
      <c r="E64">
        <v>10</v>
      </c>
      <c r="F64">
        <v>6</v>
      </c>
      <c r="G64">
        <v>1</v>
      </c>
      <c r="H64">
        <v>3</v>
      </c>
      <c r="I64" s="7">
        <f t="shared" si="16"/>
        <v>60</v>
      </c>
      <c r="J64" s="10">
        <f t="shared" si="17"/>
        <v>1.75</v>
      </c>
      <c r="K64" s="10">
        <f t="shared" si="18"/>
        <v>0.35</v>
      </c>
      <c r="L64" s="10" t="str">
        <f t="shared" si="4"/>
        <v>WEG</v>
      </c>
      <c r="N64">
        <f t="shared" si="5"/>
        <v>17.5</v>
      </c>
      <c r="O64">
        <f t="shared" si="11"/>
        <v>3.4999999999999996</v>
      </c>
      <c r="P64">
        <f t="shared" si="12"/>
        <v>10</v>
      </c>
      <c r="Q64">
        <f t="shared" si="13"/>
        <v>6</v>
      </c>
      <c r="R64">
        <f t="shared" si="19"/>
        <v>1</v>
      </c>
      <c r="S64">
        <f t="shared" si="20"/>
        <v>3</v>
      </c>
    </row>
    <row r="65" spans="1:19" x14ac:dyDescent="0.25">
      <c r="A65">
        <v>64</v>
      </c>
      <c r="B65" t="s">
        <v>90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7">
        <f t="shared" si="16"/>
        <v>0</v>
      </c>
      <c r="J65" s="10">
        <f t="shared" si="17"/>
        <v>0</v>
      </c>
      <c r="K65" s="10">
        <f t="shared" si="18"/>
        <v>0</v>
      </c>
      <c r="L65" s="10" t="str">
        <f t="shared" ref="L65" si="21">LEFT(B65,3)</f>
        <v>WEG</v>
      </c>
      <c r="N65">
        <f t="shared" ref="N65" si="22">C65+U65</f>
        <v>0</v>
      </c>
      <c r="O65">
        <f t="shared" si="11"/>
        <v>0</v>
      </c>
      <c r="P65">
        <f t="shared" si="12"/>
        <v>0</v>
      </c>
      <c r="Q65">
        <f t="shared" si="13"/>
        <v>0</v>
      </c>
      <c r="R65">
        <f t="shared" si="19"/>
        <v>0</v>
      </c>
      <c r="S65">
        <f t="shared" si="20"/>
        <v>0</v>
      </c>
    </row>
    <row r="73" spans="1:19" x14ac:dyDescent="0.25">
      <c r="B73" s="8"/>
    </row>
    <row r="74" spans="1:19" x14ac:dyDescent="0.25">
      <c r="B74" s="8"/>
    </row>
    <row r="75" spans="1:19" x14ac:dyDescent="0.25">
      <c r="B75" s="8"/>
    </row>
  </sheetData>
  <sortState xmlns:xlrd2="http://schemas.microsoft.com/office/spreadsheetml/2017/richdata2" ref="B2:B104">
    <sortCondition ref="B1:B104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6"/>
  <sheetViews>
    <sheetView workbookViewId="0">
      <pane xSplit="1" topLeftCell="B1" activePane="topRight" state="frozen"/>
      <selection pane="topRight" activeCell="A66" sqref="A3:A66"/>
    </sheetView>
  </sheetViews>
  <sheetFormatPr defaultRowHeight="15" x14ac:dyDescent="0.25"/>
  <cols>
    <col min="1" max="1" width="21.42578125" customWidth="1"/>
    <col min="8" max="28" width="6.28515625" style="11" customWidth="1"/>
  </cols>
  <sheetData>
    <row r="1" spans="1:8" x14ac:dyDescent="0.25">
      <c r="A1" t="s">
        <v>124</v>
      </c>
      <c r="C1">
        <v>500</v>
      </c>
    </row>
    <row r="2" spans="1:8" x14ac:dyDescent="0.25">
      <c r="A2" s="9"/>
      <c r="B2" t="s">
        <v>120</v>
      </c>
      <c r="C2" t="s">
        <v>121</v>
      </c>
      <c r="D2" t="s">
        <v>78</v>
      </c>
      <c r="E2" t="s">
        <v>79</v>
      </c>
      <c r="F2" t="s">
        <v>122</v>
      </c>
      <c r="G2" t="s">
        <v>80</v>
      </c>
      <c r="H2" s="11" t="s">
        <v>125</v>
      </c>
    </row>
    <row r="3" spans="1:8" x14ac:dyDescent="0.25">
      <c r="A3" t="s">
        <v>116</v>
      </c>
      <c r="B3">
        <f>SUM(H3:AB3)</f>
        <v>0</v>
      </c>
      <c r="C3">
        <f>(B3/$C$1)*100</f>
        <v>0</v>
      </c>
      <c r="D3">
        <f>COUNTA(H3:AB3)</f>
        <v>0</v>
      </c>
      <c r="E3">
        <f>COUNTIF(H3:AB3, "&gt;0")</f>
        <v>0</v>
      </c>
      <c r="F3">
        <f>COUNTIF(H3:AB3, "=0")</f>
        <v>0</v>
      </c>
      <c r="G3">
        <f>COUNTIF(H3:AB3, "&lt;0")</f>
        <v>0</v>
      </c>
    </row>
    <row r="4" spans="1:8" x14ac:dyDescent="0.25">
      <c r="A4" t="s">
        <v>86</v>
      </c>
      <c r="B4">
        <f t="shared" ref="B4:B65" si="0">SUM(H4:AB4)</f>
        <v>0</v>
      </c>
      <c r="C4">
        <f t="shared" ref="C4:C65" si="1">(B4/$C$1)*100</f>
        <v>0</v>
      </c>
      <c r="D4">
        <f t="shared" ref="D4:D65" si="2">COUNTA(H4:AB4)</f>
        <v>0</v>
      </c>
      <c r="E4">
        <f t="shared" ref="E4:E65" si="3">COUNTIF(H4:AB4, "&gt;0")</f>
        <v>0</v>
      </c>
      <c r="F4">
        <f t="shared" ref="F4:F65" si="4">COUNTIF(H4:AB4, "=0")</f>
        <v>0</v>
      </c>
      <c r="G4">
        <f t="shared" ref="G4:G65" si="5">COUNTIF(H4:AB4, "&lt;0")</f>
        <v>0</v>
      </c>
    </row>
    <row r="5" spans="1:8" x14ac:dyDescent="0.25">
      <c r="A5" t="s">
        <v>119</v>
      </c>
      <c r="B5">
        <f t="shared" si="0"/>
        <v>0</v>
      </c>
      <c r="C5">
        <f t="shared" si="1"/>
        <v>0</v>
      </c>
      <c r="D5">
        <f t="shared" si="2"/>
        <v>0</v>
      </c>
      <c r="E5">
        <f t="shared" si="3"/>
        <v>0</v>
      </c>
      <c r="F5">
        <f t="shared" si="4"/>
        <v>0</v>
      </c>
      <c r="G5">
        <f t="shared" si="5"/>
        <v>0</v>
      </c>
    </row>
    <row r="6" spans="1:8" x14ac:dyDescent="0.25">
      <c r="A6" t="s">
        <v>117</v>
      </c>
      <c r="B6">
        <f t="shared" si="0"/>
        <v>0</v>
      </c>
      <c r="C6">
        <f t="shared" si="1"/>
        <v>0</v>
      </c>
      <c r="D6">
        <f t="shared" si="2"/>
        <v>0</v>
      </c>
      <c r="E6">
        <f t="shared" si="3"/>
        <v>0</v>
      </c>
      <c r="F6">
        <f t="shared" si="4"/>
        <v>0</v>
      </c>
      <c r="G6">
        <f t="shared" si="5"/>
        <v>0</v>
      </c>
    </row>
    <row r="7" spans="1:8" x14ac:dyDescent="0.25">
      <c r="A7" t="s">
        <v>118</v>
      </c>
      <c r="B7">
        <f t="shared" si="0"/>
        <v>0</v>
      </c>
      <c r="C7">
        <f t="shared" si="1"/>
        <v>0</v>
      </c>
      <c r="D7">
        <f t="shared" si="2"/>
        <v>0</v>
      </c>
      <c r="E7">
        <f t="shared" si="3"/>
        <v>0</v>
      </c>
      <c r="F7">
        <f t="shared" si="4"/>
        <v>0</v>
      </c>
      <c r="G7">
        <f t="shared" si="5"/>
        <v>0</v>
      </c>
    </row>
    <row r="8" spans="1:8" x14ac:dyDescent="0.25">
      <c r="A8" t="s">
        <v>69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</v>
      </c>
      <c r="G8">
        <f t="shared" si="5"/>
        <v>0</v>
      </c>
    </row>
    <row r="9" spans="1:8" x14ac:dyDescent="0.25">
      <c r="A9" t="s">
        <v>85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0</v>
      </c>
      <c r="F9">
        <f t="shared" si="4"/>
        <v>0</v>
      </c>
      <c r="G9">
        <f t="shared" si="5"/>
        <v>0</v>
      </c>
    </row>
    <row r="10" spans="1:8" x14ac:dyDescent="0.25">
      <c r="A10" t="s">
        <v>87</v>
      </c>
      <c r="B10">
        <f t="shared" si="0"/>
        <v>0</v>
      </c>
      <c r="C10">
        <f t="shared" si="1"/>
        <v>0</v>
      </c>
      <c r="D10">
        <f t="shared" si="2"/>
        <v>0</v>
      </c>
      <c r="E10">
        <f t="shared" si="3"/>
        <v>0</v>
      </c>
      <c r="F10">
        <f t="shared" si="4"/>
        <v>0</v>
      </c>
      <c r="G10">
        <f t="shared" si="5"/>
        <v>0</v>
      </c>
    </row>
    <row r="11" spans="1:8" x14ac:dyDescent="0.25">
      <c r="A11" t="s">
        <v>72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0</v>
      </c>
      <c r="G11">
        <f t="shared" si="5"/>
        <v>0</v>
      </c>
    </row>
    <row r="12" spans="1:8" x14ac:dyDescent="0.25">
      <c r="A12" t="s">
        <v>67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0</v>
      </c>
      <c r="F12">
        <f t="shared" si="4"/>
        <v>0</v>
      </c>
      <c r="G12">
        <f t="shared" si="5"/>
        <v>0</v>
      </c>
      <c r="H12" s="12"/>
    </row>
    <row r="13" spans="1:8" x14ac:dyDescent="0.25">
      <c r="A13" t="s">
        <v>88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0</v>
      </c>
      <c r="F13">
        <f t="shared" si="4"/>
        <v>0</v>
      </c>
      <c r="G13">
        <f t="shared" si="5"/>
        <v>0</v>
      </c>
    </row>
    <row r="14" spans="1:8" x14ac:dyDescent="0.25">
      <c r="A14" t="s">
        <v>71</v>
      </c>
      <c r="B14">
        <f t="shared" si="0"/>
        <v>0</v>
      </c>
      <c r="C14">
        <f t="shared" si="1"/>
        <v>0</v>
      </c>
      <c r="D14">
        <f t="shared" si="2"/>
        <v>0</v>
      </c>
      <c r="E14">
        <f t="shared" si="3"/>
        <v>0</v>
      </c>
      <c r="F14">
        <f t="shared" si="4"/>
        <v>0</v>
      </c>
      <c r="G14">
        <f t="shared" si="5"/>
        <v>0</v>
      </c>
    </row>
    <row r="15" spans="1:8" x14ac:dyDescent="0.25">
      <c r="A15" t="s">
        <v>55</v>
      </c>
      <c r="B15">
        <f t="shared" si="0"/>
        <v>0</v>
      </c>
      <c r="C15">
        <f t="shared" si="1"/>
        <v>0</v>
      </c>
      <c r="D15">
        <f t="shared" si="2"/>
        <v>0</v>
      </c>
      <c r="E15">
        <f t="shared" si="3"/>
        <v>0</v>
      </c>
      <c r="F15">
        <f t="shared" si="4"/>
        <v>0</v>
      </c>
      <c r="G15">
        <f t="shared" si="5"/>
        <v>0</v>
      </c>
    </row>
    <row r="16" spans="1:8" x14ac:dyDescent="0.25">
      <c r="A16" t="s">
        <v>62</v>
      </c>
      <c r="B16">
        <f t="shared" si="0"/>
        <v>0</v>
      </c>
      <c r="C16">
        <f t="shared" si="1"/>
        <v>0</v>
      </c>
      <c r="D16">
        <f t="shared" si="2"/>
        <v>0</v>
      </c>
      <c r="E16">
        <f t="shared" si="3"/>
        <v>0</v>
      </c>
      <c r="F16">
        <f t="shared" si="4"/>
        <v>0</v>
      </c>
      <c r="G16">
        <f t="shared" si="5"/>
        <v>0</v>
      </c>
      <c r="H16" s="12"/>
    </row>
    <row r="17" spans="1:9" x14ac:dyDescent="0.25">
      <c r="A17" t="s">
        <v>81</v>
      </c>
      <c r="B17">
        <f t="shared" si="0"/>
        <v>0</v>
      </c>
      <c r="C17">
        <f t="shared" si="1"/>
        <v>0</v>
      </c>
      <c r="D17">
        <f t="shared" si="2"/>
        <v>0</v>
      </c>
      <c r="E17">
        <f t="shared" si="3"/>
        <v>0</v>
      </c>
      <c r="F17">
        <f t="shared" si="4"/>
        <v>0</v>
      </c>
      <c r="G17">
        <f t="shared" si="5"/>
        <v>0</v>
      </c>
    </row>
    <row r="18" spans="1:9" x14ac:dyDescent="0.25">
      <c r="A18" t="s">
        <v>82</v>
      </c>
      <c r="B18">
        <f t="shared" si="0"/>
        <v>0</v>
      </c>
      <c r="C18">
        <f t="shared" si="1"/>
        <v>0</v>
      </c>
      <c r="D18">
        <f t="shared" si="2"/>
        <v>0</v>
      </c>
      <c r="E18">
        <f t="shared" si="3"/>
        <v>0</v>
      </c>
      <c r="F18">
        <f t="shared" si="4"/>
        <v>0</v>
      </c>
      <c r="G18">
        <f t="shared" si="5"/>
        <v>0</v>
      </c>
    </row>
    <row r="19" spans="1:9" x14ac:dyDescent="0.25">
      <c r="A19" t="s">
        <v>60</v>
      </c>
      <c r="B19">
        <f t="shared" si="0"/>
        <v>0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</v>
      </c>
      <c r="G19">
        <f t="shared" si="5"/>
        <v>0</v>
      </c>
    </row>
    <row r="20" spans="1:9" x14ac:dyDescent="0.25">
      <c r="A20" t="s">
        <v>89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9" x14ac:dyDescent="0.25">
      <c r="A21" t="s">
        <v>64</v>
      </c>
      <c r="B21">
        <f t="shared" si="0"/>
        <v>0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</row>
    <row r="22" spans="1:9" x14ac:dyDescent="0.25">
      <c r="A22" t="s">
        <v>75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</row>
    <row r="23" spans="1:9" x14ac:dyDescent="0.25">
      <c r="A23" t="s">
        <v>105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</row>
    <row r="24" spans="1:9" x14ac:dyDescent="0.25">
      <c r="A24" t="s">
        <v>61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</row>
    <row r="25" spans="1:9" x14ac:dyDescent="0.25">
      <c r="A25" t="s">
        <v>104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</row>
    <row r="26" spans="1:9" x14ac:dyDescent="0.25">
      <c r="A26" t="s">
        <v>106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9" x14ac:dyDescent="0.25">
      <c r="A27" t="s">
        <v>107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</row>
    <row r="28" spans="1:9" x14ac:dyDescent="0.25">
      <c r="A28" t="s">
        <v>65</v>
      </c>
      <c r="B28">
        <f t="shared" si="0"/>
        <v>0</v>
      </c>
      <c r="C28">
        <f t="shared" si="1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  <c r="I28" s="12"/>
    </row>
    <row r="29" spans="1:9" x14ac:dyDescent="0.25">
      <c r="A29" t="s">
        <v>114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</row>
    <row r="30" spans="1:9" x14ac:dyDescent="0.25">
      <c r="A30" t="s">
        <v>59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</row>
    <row r="31" spans="1:9" x14ac:dyDescent="0.25">
      <c r="A31" t="s">
        <v>112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</row>
    <row r="32" spans="1:9" x14ac:dyDescent="0.25">
      <c r="A32" t="s">
        <v>110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</row>
    <row r="33" spans="1:7" x14ac:dyDescent="0.25">
      <c r="A33" t="s">
        <v>108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</row>
    <row r="34" spans="1:7" x14ac:dyDescent="0.25">
      <c r="A34" t="s">
        <v>111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</row>
    <row r="35" spans="1:7" x14ac:dyDescent="0.25">
      <c r="A35" t="s">
        <v>113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</row>
    <row r="36" spans="1:7" x14ac:dyDescent="0.25">
      <c r="A36" t="s">
        <v>115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</row>
    <row r="37" spans="1:7" x14ac:dyDescent="0.25">
      <c r="A37" t="s">
        <v>101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</row>
    <row r="38" spans="1:7" x14ac:dyDescent="0.25">
      <c r="A38" t="s">
        <v>84</v>
      </c>
      <c r="B38">
        <f t="shared" si="0"/>
        <v>0</v>
      </c>
      <c r="C38">
        <f t="shared" si="1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</row>
    <row r="39" spans="1:7" x14ac:dyDescent="0.25">
      <c r="A39" t="s">
        <v>76</v>
      </c>
      <c r="B39">
        <f t="shared" si="0"/>
        <v>0</v>
      </c>
      <c r="C39">
        <f t="shared" si="1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</row>
    <row r="40" spans="1:7" x14ac:dyDescent="0.25">
      <c r="A40" t="s">
        <v>63</v>
      </c>
      <c r="B40">
        <f t="shared" si="0"/>
        <v>0</v>
      </c>
      <c r="C40">
        <f t="shared" si="1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</row>
    <row r="41" spans="1:7" x14ac:dyDescent="0.25">
      <c r="A41" t="s">
        <v>77</v>
      </c>
      <c r="B41">
        <f t="shared" si="0"/>
        <v>0</v>
      </c>
      <c r="C41">
        <f t="shared" si="1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</row>
    <row r="42" spans="1:7" x14ac:dyDescent="0.25">
      <c r="A42" t="s">
        <v>102</v>
      </c>
      <c r="B42">
        <f t="shared" si="0"/>
        <v>0</v>
      </c>
      <c r="C42">
        <f t="shared" si="1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</row>
    <row r="43" spans="1:7" x14ac:dyDescent="0.25">
      <c r="A43" t="s">
        <v>103</v>
      </c>
      <c r="B43">
        <f t="shared" si="0"/>
        <v>0</v>
      </c>
      <c r="C43">
        <f t="shared" si="1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</row>
    <row r="44" spans="1:7" x14ac:dyDescent="0.25">
      <c r="A44" t="s">
        <v>109</v>
      </c>
      <c r="B44">
        <f t="shared" si="0"/>
        <v>0</v>
      </c>
      <c r="C44">
        <f t="shared" si="1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</row>
    <row r="45" spans="1:7" x14ac:dyDescent="0.25">
      <c r="A45" t="s">
        <v>74</v>
      </c>
      <c r="B45">
        <f t="shared" si="0"/>
        <v>0</v>
      </c>
      <c r="C45">
        <f t="shared" si="1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</row>
    <row r="46" spans="1:7" x14ac:dyDescent="0.25">
      <c r="A46" t="s">
        <v>147</v>
      </c>
      <c r="B46">
        <f t="shared" si="0"/>
        <v>0</v>
      </c>
      <c r="C46">
        <f t="shared" si="1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</row>
    <row r="47" spans="1:7" x14ac:dyDescent="0.25">
      <c r="A47" t="s">
        <v>54</v>
      </c>
      <c r="B47">
        <f t="shared" si="0"/>
        <v>0</v>
      </c>
      <c r="C47">
        <f t="shared" si="1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</row>
    <row r="48" spans="1:7" x14ac:dyDescent="0.25">
      <c r="A48" t="s">
        <v>70</v>
      </c>
      <c r="B48">
        <f t="shared" si="0"/>
        <v>0</v>
      </c>
      <c r="C48">
        <f t="shared" si="1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</row>
    <row r="49" spans="1:9" x14ac:dyDescent="0.25">
      <c r="A49" t="s">
        <v>92</v>
      </c>
      <c r="B49">
        <f t="shared" si="0"/>
        <v>0</v>
      </c>
      <c r="C49">
        <f t="shared" si="1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</row>
    <row r="50" spans="1:9" x14ac:dyDescent="0.25">
      <c r="A50" t="s">
        <v>66</v>
      </c>
      <c r="B50">
        <f t="shared" si="0"/>
        <v>0</v>
      </c>
      <c r="C50">
        <f t="shared" si="1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</row>
    <row r="51" spans="1:9" x14ac:dyDescent="0.25">
      <c r="A51" t="s">
        <v>91</v>
      </c>
      <c r="B51">
        <f t="shared" si="0"/>
        <v>0</v>
      </c>
      <c r="C51">
        <f t="shared" si="1"/>
        <v>0</v>
      </c>
      <c r="D51">
        <f t="shared" si="2"/>
        <v>0</v>
      </c>
      <c r="E51">
        <f t="shared" si="3"/>
        <v>0</v>
      </c>
      <c r="F51">
        <f t="shared" si="4"/>
        <v>0</v>
      </c>
      <c r="G51">
        <f t="shared" si="5"/>
        <v>0</v>
      </c>
    </row>
    <row r="52" spans="1:9" x14ac:dyDescent="0.25">
      <c r="A52" t="s">
        <v>73</v>
      </c>
      <c r="B52">
        <f t="shared" si="0"/>
        <v>0</v>
      </c>
      <c r="C52">
        <f t="shared" si="1"/>
        <v>0</v>
      </c>
      <c r="D52">
        <f t="shared" si="2"/>
        <v>0</v>
      </c>
      <c r="E52">
        <f t="shared" si="3"/>
        <v>0</v>
      </c>
      <c r="F52">
        <f t="shared" si="4"/>
        <v>0</v>
      </c>
      <c r="G52">
        <f t="shared" si="5"/>
        <v>0</v>
      </c>
    </row>
    <row r="53" spans="1:9" x14ac:dyDescent="0.25">
      <c r="A53" t="s">
        <v>93</v>
      </c>
      <c r="B53">
        <f t="shared" si="0"/>
        <v>0</v>
      </c>
      <c r="C53">
        <f t="shared" si="1"/>
        <v>0</v>
      </c>
      <c r="D53">
        <f t="shared" si="2"/>
        <v>0</v>
      </c>
      <c r="E53">
        <f t="shared" si="3"/>
        <v>0</v>
      </c>
      <c r="F53">
        <f t="shared" si="4"/>
        <v>0</v>
      </c>
      <c r="G53">
        <f t="shared" si="5"/>
        <v>0</v>
      </c>
    </row>
    <row r="54" spans="1:9" x14ac:dyDescent="0.25">
      <c r="A54" t="s">
        <v>68</v>
      </c>
      <c r="B54">
        <f t="shared" si="0"/>
        <v>0</v>
      </c>
      <c r="C54">
        <f t="shared" si="1"/>
        <v>0</v>
      </c>
      <c r="D54">
        <f t="shared" si="2"/>
        <v>0</v>
      </c>
      <c r="E54">
        <f t="shared" si="3"/>
        <v>0</v>
      </c>
      <c r="F54">
        <f t="shared" si="4"/>
        <v>0</v>
      </c>
      <c r="G54">
        <f t="shared" si="5"/>
        <v>0</v>
      </c>
    </row>
    <row r="55" spans="1:9" x14ac:dyDescent="0.25">
      <c r="A55" t="s">
        <v>98</v>
      </c>
      <c r="B55">
        <f t="shared" si="0"/>
        <v>0</v>
      </c>
      <c r="C55">
        <f t="shared" si="1"/>
        <v>0</v>
      </c>
      <c r="D55">
        <f t="shared" si="2"/>
        <v>0</v>
      </c>
      <c r="E55">
        <f t="shared" si="3"/>
        <v>0</v>
      </c>
      <c r="F55">
        <f t="shared" si="4"/>
        <v>0</v>
      </c>
      <c r="G55">
        <f t="shared" si="5"/>
        <v>0</v>
      </c>
    </row>
    <row r="56" spans="1:9" x14ac:dyDescent="0.25">
      <c r="A56" t="s">
        <v>94</v>
      </c>
      <c r="B56">
        <f t="shared" si="0"/>
        <v>0</v>
      </c>
      <c r="C56">
        <f t="shared" si="1"/>
        <v>0</v>
      </c>
      <c r="D56">
        <f t="shared" si="2"/>
        <v>0</v>
      </c>
      <c r="E56">
        <f t="shared" si="3"/>
        <v>0</v>
      </c>
      <c r="F56">
        <f t="shared" si="4"/>
        <v>0</v>
      </c>
      <c r="G56">
        <f t="shared" si="5"/>
        <v>0</v>
      </c>
    </row>
    <row r="57" spans="1:9" x14ac:dyDescent="0.25">
      <c r="A57" t="s">
        <v>95</v>
      </c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F57">
        <f t="shared" si="4"/>
        <v>0</v>
      </c>
      <c r="G57">
        <f t="shared" si="5"/>
        <v>0</v>
      </c>
    </row>
    <row r="58" spans="1:9" x14ac:dyDescent="0.25">
      <c r="A58" t="s">
        <v>97</v>
      </c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F58">
        <f t="shared" si="4"/>
        <v>0</v>
      </c>
      <c r="G58">
        <f t="shared" si="5"/>
        <v>0</v>
      </c>
    </row>
    <row r="59" spans="1:9" x14ac:dyDescent="0.25">
      <c r="A59" t="s">
        <v>99</v>
      </c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0</v>
      </c>
    </row>
    <row r="60" spans="1:9" x14ac:dyDescent="0.25">
      <c r="A60" t="s">
        <v>96</v>
      </c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0</v>
      </c>
    </row>
    <row r="61" spans="1:9" x14ac:dyDescent="0.25">
      <c r="A61" t="s">
        <v>100</v>
      </c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0</v>
      </c>
    </row>
    <row r="62" spans="1:9" x14ac:dyDescent="0.25">
      <c r="A62" t="s">
        <v>57</v>
      </c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F62">
        <f t="shared" si="4"/>
        <v>0</v>
      </c>
      <c r="G62">
        <f t="shared" si="5"/>
        <v>0</v>
      </c>
    </row>
    <row r="63" spans="1:9" x14ac:dyDescent="0.25">
      <c r="A63" t="s">
        <v>56</v>
      </c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  <c r="F63">
        <f t="shared" si="4"/>
        <v>0</v>
      </c>
      <c r="G63">
        <f t="shared" si="5"/>
        <v>0</v>
      </c>
      <c r="I63" s="12"/>
    </row>
    <row r="64" spans="1:9" x14ac:dyDescent="0.25">
      <c r="A64" t="s">
        <v>83</v>
      </c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F64">
        <f t="shared" si="4"/>
        <v>0</v>
      </c>
      <c r="G64">
        <f t="shared" si="5"/>
        <v>0</v>
      </c>
    </row>
    <row r="65" spans="1:7" x14ac:dyDescent="0.25">
      <c r="A65" t="s">
        <v>58</v>
      </c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F65">
        <f t="shared" si="4"/>
        <v>0</v>
      </c>
      <c r="G65">
        <f t="shared" si="5"/>
        <v>0</v>
      </c>
    </row>
    <row r="66" spans="1:7" x14ac:dyDescent="0.25">
      <c r="A66" t="s">
        <v>90</v>
      </c>
      <c r="B66">
        <f t="shared" ref="B66" si="6">SUM(H66:AB66)</f>
        <v>0</v>
      </c>
      <c r="C66">
        <f t="shared" ref="C66" si="7">(B66/$C$1)*100</f>
        <v>0</v>
      </c>
      <c r="D66">
        <f t="shared" ref="D66" si="8">COUNTA(H66:AB66)</f>
        <v>0</v>
      </c>
      <c r="E66">
        <f t="shared" ref="E66" si="9">COUNTIF(H66:AB66, "&gt;0")</f>
        <v>0</v>
      </c>
      <c r="F66">
        <f t="shared" ref="F66" si="10">COUNTIF(H66:AB66, "=0")</f>
        <v>0</v>
      </c>
      <c r="G66">
        <f t="shared" ref="G66" si="11">COUNTIF(H66:AB66, "&lt;0")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Тикеры</vt:lpstr>
      <vt:lpstr>СтатПоТипу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2026-09-21T12:07:28Z</dcterms:modified>
</cp:coreProperties>
</file>