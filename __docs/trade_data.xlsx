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33523228-8ADD-4610-9AA0-0880FD7355B8}" xr6:coauthVersionLast="47" xr6:coauthVersionMax="47" xr10:uidLastSave="{00000000-0000-0000-0000-000000000000}"/>
  <bookViews>
    <workbookView xWindow="-120" yWindow="-16320" windowWidth="29040" windowHeight="15840" activeTab="1" xr2:uid="{00000000-000D-0000-FFFF-FFFF00000000}"/>
  </bookViews>
  <sheets>
    <sheet name="Тикеры" sheetId="1" r:id="rId1"/>
    <sheet name="История запусков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3" l="1"/>
  <c r="O14" i="3"/>
  <c r="O20" i="3"/>
  <c r="O21" i="3"/>
  <c r="O22" i="3"/>
  <c r="O25" i="3"/>
  <c r="O26" i="3"/>
  <c r="O27" i="3"/>
  <c r="O28" i="3"/>
  <c r="O29" i="3"/>
  <c r="O30" i="3"/>
  <c r="O31" i="3"/>
  <c r="O32" i="3"/>
  <c r="O33" i="3"/>
  <c r="O34" i="3"/>
  <c r="O35" i="3"/>
  <c r="O2" i="3"/>
  <c r="M3" i="3"/>
  <c r="N3" i="3"/>
  <c r="M4" i="3"/>
  <c r="N4" i="3"/>
  <c r="M5" i="3"/>
  <c r="N5" i="3"/>
  <c r="O5" i="3" s="1"/>
  <c r="M6" i="3"/>
  <c r="N6" i="3"/>
  <c r="M7" i="3"/>
  <c r="O7" i="3" s="1"/>
  <c r="N7" i="3"/>
  <c r="M8" i="3"/>
  <c r="O8" i="3" s="1"/>
  <c r="N8" i="3"/>
  <c r="M9" i="3"/>
  <c r="N9" i="3"/>
  <c r="O9" i="3" s="1"/>
  <c r="M10" i="3"/>
  <c r="N10" i="3"/>
  <c r="O10" i="3" s="1"/>
  <c r="M11" i="3"/>
  <c r="O11" i="3" s="1"/>
  <c r="N11" i="3"/>
  <c r="M12" i="3"/>
  <c r="O12" i="3" s="1"/>
  <c r="N12" i="3"/>
  <c r="M13" i="3"/>
  <c r="N13" i="3"/>
  <c r="O13" i="3" s="1"/>
  <c r="M14" i="3"/>
  <c r="N14" i="3"/>
  <c r="M15" i="3"/>
  <c r="O15" i="3" s="1"/>
  <c r="N15" i="3"/>
  <c r="M16" i="3"/>
  <c r="O16" i="3" s="1"/>
  <c r="N16" i="3"/>
  <c r="M17" i="3"/>
  <c r="O17" i="3" s="1"/>
  <c r="N17" i="3"/>
  <c r="M18" i="3"/>
  <c r="N18" i="3"/>
  <c r="O18" i="3" s="1"/>
  <c r="M19" i="3"/>
  <c r="O19" i="3" s="1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M33" i="3"/>
  <c r="N33" i="3"/>
  <c r="M34" i="3"/>
  <c r="N34" i="3"/>
  <c r="M35" i="3"/>
  <c r="N35" i="3"/>
  <c r="N2" i="3"/>
  <c r="M2" i="3"/>
  <c r="L3" i="3"/>
  <c r="L5" i="3"/>
  <c r="L10" i="3"/>
  <c r="L18" i="3"/>
  <c r="L20" i="3"/>
  <c r="L21" i="3"/>
  <c r="L25" i="3"/>
  <c r="L26" i="3"/>
  <c r="L27" i="3"/>
  <c r="L28" i="3"/>
  <c r="L29" i="3"/>
  <c r="L30" i="3"/>
  <c r="L31" i="3"/>
  <c r="L32" i="3"/>
  <c r="L33" i="3"/>
  <c r="L34" i="3"/>
  <c r="L35" i="3"/>
  <c r="K3" i="3"/>
  <c r="K4" i="3"/>
  <c r="K5" i="3"/>
  <c r="K6" i="3"/>
  <c r="L6" i="3" s="1"/>
  <c r="K7" i="3"/>
  <c r="K8" i="3"/>
  <c r="K9" i="3"/>
  <c r="K10" i="3"/>
  <c r="K11" i="3"/>
  <c r="L11" i="3" s="1"/>
  <c r="K12" i="3"/>
  <c r="K13" i="3"/>
  <c r="K14" i="3"/>
  <c r="K15" i="3"/>
  <c r="K16" i="3"/>
  <c r="L16" i="3" s="1"/>
  <c r="K17" i="3"/>
  <c r="L17" i="3" s="1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2" i="3"/>
  <c r="L2" i="3" s="1"/>
  <c r="J3" i="3"/>
  <c r="J4" i="3"/>
  <c r="J5" i="3"/>
  <c r="J6" i="3"/>
  <c r="J7" i="3"/>
  <c r="J8" i="3"/>
  <c r="L8" i="3" s="1"/>
  <c r="J9" i="3"/>
  <c r="J11" i="3"/>
  <c r="J12" i="3"/>
  <c r="J13" i="3"/>
  <c r="J15" i="3"/>
  <c r="L15" i="3" s="1"/>
  <c r="J17" i="3"/>
  <c r="J18" i="3"/>
  <c r="J19" i="3"/>
  <c r="L19" i="3" s="1"/>
  <c r="J20" i="3"/>
  <c r="J21" i="3"/>
  <c r="J22" i="3"/>
  <c r="L22" i="3" s="1"/>
  <c r="J23" i="3"/>
  <c r="J24" i="3"/>
  <c r="J25" i="3"/>
  <c r="J10" i="3"/>
  <c r="J14" i="3"/>
  <c r="L14" i="3" s="1"/>
  <c r="J16" i="3"/>
  <c r="J26" i="3"/>
  <c r="J27" i="3"/>
  <c r="J28" i="3"/>
  <c r="J29" i="3"/>
  <c r="J30" i="3"/>
  <c r="J31" i="3"/>
  <c r="J32" i="3"/>
  <c r="J33" i="3"/>
  <c r="J34" i="3"/>
  <c r="J35" i="3"/>
  <c r="J2" i="3"/>
  <c r="L4" i="3" l="1"/>
  <c r="O4" i="3"/>
  <c r="O23" i="3"/>
  <c r="O24" i="3"/>
  <c r="L7" i="3"/>
  <c r="O6" i="3"/>
  <c r="L9" i="3"/>
  <c r="L12" i="3"/>
  <c r="L23" i="3"/>
  <c r="L13" i="3"/>
  <c r="L24" i="3"/>
</calcChain>
</file>

<file path=xl/sharedStrings.xml><?xml version="1.0" encoding="utf-8"?>
<sst xmlns="http://schemas.openxmlformats.org/spreadsheetml/2006/main" count="97" uniqueCount="94">
  <si>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</si>
  <si>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</si>
  <si>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</si>
  <si>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</si>
  <si>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</si>
  <si>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</si>
  <si>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</si>
  <si>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</si>
  <si>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</si>
  <si>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</si>
  <si>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</si>
  <si>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</si>
  <si>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</si>
  <si>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</si>
  <si>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</si>
  <si>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</si>
  <si>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</si>
  <si>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</si>
  <si>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</si>
  <si>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</si>
  <si>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</si>
  <si>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</si>
  <si>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</si>
  <si>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</si>
  <si>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</si>
  <si>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</si>
  <si>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</si>
  <si>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</si>
  <si>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</si>
  <si>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</si>
  <si>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</si>
  <si>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</si>
  <si>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</si>
  <si>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</si>
  <si>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</si>
  <si>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</si>
  <si>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</si>
  <si>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</si>
  <si>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</si>
  <si>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</si>
  <si>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</si>
  <si>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</si>
  <si>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</si>
  <si>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</si>
  <si>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</si>
  <si>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</si>
  <si>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</si>
  <si>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</si>
  <si>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</si>
  <si>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</si>
  <si>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</si>
  <si>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</si>
  <si>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</si>
  <si>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</si>
  <si>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</si>
  <si>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</si>
  <si>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</si>
  <si>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</si>
  <si>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</si>
  <si>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</si>
  <si>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</si>
  <si>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</si>
  <si>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</si>
  <si>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</si>
  <si>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</si>
  <si>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</si>
  <si>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</si>
  <si>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</si>
  <si>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</si>
  <si>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</si>
  <si>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</si>
  <si>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</si>
  <si>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</si>
  <si>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</si>
  <si>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</si>
  <si>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</si>
  <si>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</si>
  <si>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</si>
  <si>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</si>
  <si>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</si>
  <si>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Пойдет</t>
  </si>
  <si>
    <t>Коррекция</t>
  </si>
  <si>
    <t>от 10</t>
  </si>
  <si>
    <t>от 1 до 3</t>
  </si>
  <si>
    <t>от 4 до 9</t>
  </si>
  <si>
    <t>PEG13_DWDDCr</t>
  </si>
  <si>
    <t>PEG26_UNKNOWN</t>
  </si>
  <si>
    <t>PEG4_UNIVERSAL</t>
  </si>
  <si>
    <t>Сумма</t>
  </si>
  <si>
    <t>Кол-во</t>
  </si>
  <si>
    <t>Среднее</t>
  </si>
  <si>
    <t>Прибыль</t>
  </si>
  <si>
    <t>Убыток</t>
  </si>
  <si>
    <t>П%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</si>
</sst>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7E7E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64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F35-A707-4D30-9F4E-850918EC1F71}">
  <dimension ref="B1:V111"/>
  <sheetViews>
    <sheetView tabSelected="1" workbookViewId="0">
      <selection activeCell="S28" sqref="S28"/>
    </sheetView>
  </sheetViews>
  <sheetFormatPr defaultRowHeight="15" x14ac:dyDescent="0.25"/>
  <cols>
    <col min="2" max="2" width="20.28515625" customWidth="1"/>
    <col min="6" max="7" width="12.5703125" customWidth="1"/>
  </cols>
  <sheetData>
    <row r="1" spans="2:22" x14ac:dyDescent="0.25">
      <c r="C1" s="3" t="s">
        <v>55</v>
      </c>
      <c r="D1" s="4" t="s">
        <v>56</v>
      </c>
      <c r="E1" s="5" t="s">
        <v>80</v>
      </c>
      <c r="F1" s="8" t="s">
        <v>57</v>
      </c>
      <c r="G1" s="7" t="s">
        <v>81</v>
      </c>
      <c r="H1" s="6" t="s">
        <v>58</v>
      </c>
      <c r="I1" s="9" t="s">
        <v>59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</row>
    <row r="2" spans="2:22" x14ac:dyDescent="0.25">
      <c r="B2" t="s">
        <v>74</v>
      </c>
      <c r="D2">
        <v>1</v>
      </c>
      <c r="E2">
        <v>2</v>
      </c>
      <c r="J2">
        <f t="shared" ref="J2:J25" si="0">C2*10+D2*5+E2-G2-H2*5-I2*10</f>
        <v>7</v>
      </c>
      <c r="K2">
        <f>SUM(C2:I2)</f>
        <v>3</v>
      </c>
      <c r="L2" s="10">
        <f>J2/K2</f>
        <v>2.3333333333333335</v>
      </c>
      <c r="M2">
        <f>SUM(C2:E2)</f>
        <v>3</v>
      </c>
      <c r="N2">
        <f>SUM(G2:I2)</f>
        <v>0</v>
      </c>
      <c r="O2" s="11">
        <f>(M2/(M2+N2))*100</f>
        <v>100</v>
      </c>
      <c r="U2" t="s">
        <v>83</v>
      </c>
      <c r="V2" t="s">
        <v>80</v>
      </c>
    </row>
    <row r="3" spans="2:22" x14ac:dyDescent="0.25">
      <c r="B3" t="s">
        <v>77</v>
      </c>
      <c r="H3">
        <v>1</v>
      </c>
      <c r="J3">
        <f t="shared" si="0"/>
        <v>-5</v>
      </c>
      <c r="K3">
        <f t="shared" ref="K3:K35" si="1">SUM(C3:I3)</f>
        <v>1</v>
      </c>
      <c r="L3" s="10">
        <f t="shared" ref="L3:L35" si="2">J3/K3</f>
        <v>-5</v>
      </c>
      <c r="M3">
        <f t="shared" ref="M3:M35" si="3">SUM(C3:E3)</f>
        <v>0</v>
      </c>
      <c r="N3">
        <f t="shared" ref="N3:N35" si="4">SUM(G3:I3)</f>
        <v>1</v>
      </c>
      <c r="O3" s="11">
        <f t="shared" ref="O3:O35" si="5">(M3/(M3+N3))*100</f>
        <v>0</v>
      </c>
      <c r="U3" t="s">
        <v>84</v>
      </c>
      <c r="V3" t="s">
        <v>56</v>
      </c>
    </row>
    <row r="4" spans="2:22" x14ac:dyDescent="0.25">
      <c r="B4" t="s">
        <v>72</v>
      </c>
      <c r="C4">
        <v>2</v>
      </c>
      <c r="D4">
        <v>2</v>
      </c>
      <c r="G4">
        <v>1</v>
      </c>
      <c r="J4">
        <f t="shared" si="0"/>
        <v>29</v>
      </c>
      <c r="K4">
        <f t="shared" si="1"/>
        <v>5</v>
      </c>
      <c r="L4" s="10">
        <f t="shared" si="2"/>
        <v>5.8</v>
      </c>
      <c r="M4">
        <f t="shared" si="3"/>
        <v>4</v>
      </c>
      <c r="N4">
        <f t="shared" si="4"/>
        <v>1</v>
      </c>
      <c r="O4" s="11">
        <f t="shared" si="5"/>
        <v>80</v>
      </c>
      <c r="U4" t="s">
        <v>82</v>
      </c>
      <c r="V4" t="s">
        <v>55</v>
      </c>
    </row>
    <row r="5" spans="2:22" x14ac:dyDescent="0.25">
      <c r="B5" t="s">
        <v>76</v>
      </c>
      <c r="E5">
        <v>1</v>
      </c>
      <c r="G5">
        <v>1</v>
      </c>
      <c r="I5">
        <v>1</v>
      </c>
      <c r="J5">
        <f t="shared" si="0"/>
        <v>-10</v>
      </c>
      <c r="K5">
        <f t="shared" si="1"/>
        <v>3</v>
      </c>
      <c r="L5" s="10">
        <f t="shared" si="2"/>
        <v>-3.3333333333333335</v>
      </c>
      <c r="M5">
        <f t="shared" si="3"/>
        <v>1</v>
      </c>
      <c r="N5">
        <f t="shared" si="4"/>
        <v>2</v>
      </c>
      <c r="O5" s="11">
        <f t="shared" si="5"/>
        <v>33.333333333333329</v>
      </c>
    </row>
    <row r="6" spans="2:22" x14ac:dyDescent="0.25">
      <c r="B6" t="s">
        <v>60</v>
      </c>
      <c r="C6">
        <v>3</v>
      </c>
      <c r="D6">
        <v>3</v>
      </c>
      <c r="F6">
        <v>2</v>
      </c>
      <c r="H6">
        <v>1</v>
      </c>
      <c r="J6">
        <f t="shared" si="0"/>
        <v>40</v>
      </c>
      <c r="K6">
        <f t="shared" si="1"/>
        <v>9</v>
      </c>
      <c r="L6" s="10">
        <f t="shared" si="2"/>
        <v>4.4444444444444446</v>
      </c>
      <c r="M6">
        <f t="shared" si="3"/>
        <v>6</v>
      </c>
      <c r="N6">
        <f t="shared" si="4"/>
        <v>1</v>
      </c>
      <c r="O6" s="11">
        <f t="shared" si="5"/>
        <v>85.714285714285708</v>
      </c>
    </row>
    <row r="7" spans="2:22" x14ac:dyDescent="0.25">
      <c r="B7" t="s">
        <v>67</v>
      </c>
      <c r="D7">
        <v>1</v>
      </c>
      <c r="E7">
        <v>4</v>
      </c>
      <c r="G7">
        <v>3</v>
      </c>
      <c r="J7">
        <f t="shared" si="0"/>
        <v>6</v>
      </c>
      <c r="K7">
        <f t="shared" si="1"/>
        <v>8</v>
      </c>
      <c r="L7" s="10">
        <f t="shared" si="2"/>
        <v>0.75</v>
      </c>
      <c r="M7">
        <f t="shared" si="3"/>
        <v>5</v>
      </c>
      <c r="N7">
        <f t="shared" si="4"/>
        <v>3</v>
      </c>
      <c r="O7" s="11">
        <f t="shared" si="5"/>
        <v>62.5</v>
      </c>
    </row>
    <row r="8" spans="2:22" x14ac:dyDescent="0.25">
      <c r="B8" t="s">
        <v>65</v>
      </c>
      <c r="E8">
        <v>3</v>
      </c>
      <c r="F8">
        <v>1</v>
      </c>
      <c r="G8">
        <v>2</v>
      </c>
      <c r="H8">
        <v>1</v>
      </c>
      <c r="I8">
        <v>1</v>
      </c>
      <c r="J8">
        <f t="shared" si="0"/>
        <v>-14</v>
      </c>
      <c r="K8">
        <f t="shared" si="1"/>
        <v>8</v>
      </c>
      <c r="L8" s="10">
        <f t="shared" si="2"/>
        <v>-1.75</v>
      </c>
      <c r="M8">
        <f t="shared" si="3"/>
        <v>3</v>
      </c>
      <c r="N8">
        <f t="shared" si="4"/>
        <v>4</v>
      </c>
      <c r="O8" s="11">
        <f t="shared" si="5"/>
        <v>42.857142857142854</v>
      </c>
    </row>
    <row r="9" spans="2:22" x14ac:dyDescent="0.25">
      <c r="B9" t="s">
        <v>69</v>
      </c>
      <c r="D9">
        <v>6</v>
      </c>
      <c r="E9">
        <v>2</v>
      </c>
      <c r="F9">
        <v>2</v>
      </c>
      <c r="G9">
        <v>9</v>
      </c>
      <c r="H9">
        <v>1</v>
      </c>
      <c r="I9">
        <v>1</v>
      </c>
      <c r="J9">
        <f t="shared" si="0"/>
        <v>8</v>
      </c>
      <c r="K9">
        <f t="shared" si="1"/>
        <v>21</v>
      </c>
      <c r="L9" s="10">
        <f t="shared" si="2"/>
        <v>0.38095238095238093</v>
      </c>
      <c r="M9">
        <f t="shared" si="3"/>
        <v>8</v>
      </c>
      <c r="N9">
        <f t="shared" si="4"/>
        <v>11</v>
      </c>
      <c r="O9" s="11">
        <f t="shared" si="5"/>
        <v>42.105263157894733</v>
      </c>
    </row>
    <row r="10" spans="2:22" x14ac:dyDescent="0.25">
      <c r="B10" t="s">
        <v>85</v>
      </c>
      <c r="E10">
        <v>1</v>
      </c>
      <c r="G10">
        <v>1</v>
      </c>
      <c r="J10">
        <f t="shared" si="0"/>
        <v>0</v>
      </c>
      <c r="K10">
        <f t="shared" si="1"/>
        <v>2</v>
      </c>
      <c r="L10" s="10">
        <f t="shared" si="2"/>
        <v>0</v>
      </c>
      <c r="M10">
        <f t="shared" si="3"/>
        <v>1</v>
      </c>
      <c r="N10">
        <f t="shared" si="4"/>
        <v>1</v>
      </c>
      <c r="O10" s="11">
        <f t="shared" si="5"/>
        <v>50</v>
      </c>
    </row>
    <row r="11" spans="2:22" x14ac:dyDescent="0.25">
      <c r="B11" t="s">
        <v>66</v>
      </c>
      <c r="D11">
        <v>1</v>
      </c>
      <c r="E11">
        <v>1</v>
      </c>
      <c r="F11">
        <v>2</v>
      </c>
      <c r="G11">
        <v>1</v>
      </c>
      <c r="I11">
        <v>2</v>
      </c>
      <c r="J11">
        <f t="shared" si="0"/>
        <v>-15</v>
      </c>
      <c r="K11">
        <f t="shared" si="1"/>
        <v>7</v>
      </c>
      <c r="L11" s="10">
        <f t="shared" si="2"/>
        <v>-2.1428571428571428</v>
      </c>
      <c r="M11">
        <f t="shared" si="3"/>
        <v>2</v>
      </c>
      <c r="N11">
        <f t="shared" si="4"/>
        <v>3</v>
      </c>
      <c r="O11" s="11">
        <f t="shared" si="5"/>
        <v>40</v>
      </c>
    </row>
    <row r="12" spans="2:22" x14ac:dyDescent="0.25">
      <c r="B12" t="s">
        <v>70</v>
      </c>
      <c r="C12">
        <v>4</v>
      </c>
      <c r="E12">
        <v>3</v>
      </c>
      <c r="J12">
        <f t="shared" si="0"/>
        <v>43</v>
      </c>
      <c r="K12">
        <f t="shared" si="1"/>
        <v>7</v>
      </c>
      <c r="L12" s="10">
        <f t="shared" si="2"/>
        <v>6.1428571428571432</v>
      </c>
      <c r="M12">
        <f t="shared" si="3"/>
        <v>7</v>
      </c>
      <c r="N12">
        <f t="shared" si="4"/>
        <v>0</v>
      </c>
      <c r="O12" s="11">
        <f t="shared" si="5"/>
        <v>100</v>
      </c>
    </row>
    <row r="13" spans="2:22" x14ac:dyDescent="0.25">
      <c r="B13" t="s">
        <v>64</v>
      </c>
      <c r="D13">
        <v>2</v>
      </c>
      <c r="E13">
        <v>1</v>
      </c>
      <c r="F13">
        <v>1</v>
      </c>
      <c r="G13">
        <v>3</v>
      </c>
      <c r="H13">
        <v>1</v>
      </c>
      <c r="I13">
        <v>3</v>
      </c>
      <c r="J13">
        <f t="shared" si="0"/>
        <v>-27</v>
      </c>
      <c r="K13">
        <f t="shared" si="1"/>
        <v>11</v>
      </c>
      <c r="L13" s="10">
        <f t="shared" si="2"/>
        <v>-2.4545454545454546</v>
      </c>
      <c r="M13">
        <f t="shared" si="3"/>
        <v>3</v>
      </c>
      <c r="N13">
        <f t="shared" si="4"/>
        <v>7</v>
      </c>
      <c r="O13" s="11">
        <f t="shared" si="5"/>
        <v>30</v>
      </c>
    </row>
    <row r="14" spans="2:22" x14ac:dyDescent="0.25">
      <c r="B14" t="s">
        <v>86</v>
      </c>
      <c r="E14">
        <v>1</v>
      </c>
      <c r="G14">
        <v>1</v>
      </c>
      <c r="J14">
        <f t="shared" si="0"/>
        <v>0</v>
      </c>
      <c r="K14">
        <f t="shared" si="1"/>
        <v>2</v>
      </c>
      <c r="L14" s="10">
        <f t="shared" si="2"/>
        <v>0</v>
      </c>
      <c r="M14">
        <f t="shared" si="3"/>
        <v>1</v>
      </c>
      <c r="N14">
        <f t="shared" si="4"/>
        <v>1</v>
      </c>
      <c r="O14" s="11">
        <f t="shared" si="5"/>
        <v>50</v>
      </c>
    </row>
    <row r="15" spans="2:22" x14ac:dyDescent="0.25">
      <c r="B15" t="s">
        <v>68</v>
      </c>
      <c r="E15">
        <v>4</v>
      </c>
      <c r="J15">
        <f t="shared" si="0"/>
        <v>4</v>
      </c>
      <c r="K15">
        <f t="shared" si="1"/>
        <v>4</v>
      </c>
      <c r="L15" s="10">
        <f t="shared" si="2"/>
        <v>1</v>
      </c>
      <c r="M15">
        <f t="shared" si="3"/>
        <v>4</v>
      </c>
      <c r="N15">
        <f t="shared" si="4"/>
        <v>0</v>
      </c>
      <c r="O15" s="11">
        <f t="shared" si="5"/>
        <v>100</v>
      </c>
    </row>
    <row r="16" spans="2:22" x14ac:dyDescent="0.25">
      <c r="B16" t="s">
        <v>87</v>
      </c>
      <c r="E16">
        <v>1</v>
      </c>
      <c r="G16">
        <v>1</v>
      </c>
      <c r="J16">
        <f t="shared" si="0"/>
        <v>0</v>
      </c>
      <c r="K16">
        <f t="shared" si="1"/>
        <v>2</v>
      </c>
      <c r="L16" s="10">
        <f t="shared" si="2"/>
        <v>0</v>
      </c>
      <c r="M16">
        <f t="shared" si="3"/>
        <v>1</v>
      </c>
      <c r="N16">
        <f t="shared" si="4"/>
        <v>1</v>
      </c>
      <c r="O16" s="11">
        <f t="shared" si="5"/>
        <v>50</v>
      </c>
    </row>
    <row r="17" spans="2:15" x14ac:dyDescent="0.25">
      <c r="B17" t="s">
        <v>79</v>
      </c>
      <c r="D17">
        <v>3</v>
      </c>
      <c r="E17">
        <v>1</v>
      </c>
      <c r="F17">
        <v>1</v>
      </c>
      <c r="J17">
        <f t="shared" si="0"/>
        <v>16</v>
      </c>
      <c r="K17">
        <f t="shared" si="1"/>
        <v>5</v>
      </c>
      <c r="L17" s="10">
        <f t="shared" si="2"/>
        <v>3.2</v>
      </c>
      <c r="M17">
        <f t="shared" si="3"/>
        <v>4</v>
      </c>
      <c r="N17">
        <f t="shared" si="4"/>
        <v>0</v>
      </c>
      <c r="O17" s="11">
        <f t="shared" si="5"/>
        <v>100</v>
      </c>
    </row>
    <row r="18" spans="2:15" x14ac:dyDescent="0.25">
      <c r="B18" t="s">
        <v>54</v>
      </c>
      <c r="G18">
        <v>1</v>
      </c>
      <c r="H18">
        <v>2</v>
      </c>
      <c r="J18">
        <f t="shared" si="0"/>
        <v>-11</v>
      </c>
      <c r="K18">
        <f t="shared" si="1"/>
        <v>3</v>
      </c>
      <c r="L18" s="10">
        <f t="shared" si="2"/>
        <v>-3.6666666666666665</v>
      </c>
      <c r="M18">
        <f t="shared" si="3"/>
        <v>0</v>
      </c>
      <c r="N18">
        <f t="shared" si="4"/>
        <v>3</v>
      </c>
      <c r="O18" s="11">
        <f t="shared" si="5"/>
        <v>0</v>
      </c>
    </row>
    <row r="19" spans="2:15" x14ac:dyDescent="0.25">
      <c r="B19" t="s">
        <v>75</v>
      </c>
      <c r="D19">
        <v>1</v>
      </c>
      <c r="E19">
        <v>1</v>
      </c>
      <c r="F19">
        <v>1</v>
      </c>
      <c r="H19">
        <v>2</v>
      </c>
      <c r="J19">
        <f t="shared" si="0"/>
        <v>-4</v>
      </c>
      <c r="K19">
        <f t="shared" si="1"/>
        <v>5</v>
      </c>
      <c r="L19" s="10">
        <f t="shared" si="2"/>
        <v>-0.8</v>
      </c>
      <c r="M19">
        <f t="shared" si="3"/>
        <v>2</v>
      </c>
      <c r="N19">
        <f t="shared" si="4"/>
        <v>2</v>
      </c>
      <c r="O19" s="11">
        <f t="shared" si="5"/>
        <v>50</v>
      </c>
    </row>
    <row r="20" spans="2:15" x14ac:dyDescent="0.25">
      <c r="B20" t="s">
        <v>71</v>
      </c>
      <c r="H20">
        <v>1</v>
      </c>
      <c r="I20">
        <v>1</v>
      </c>
      <c r="J20">
        <f t="shared" si="0"/>
        <v>-15</v>
      </c>
      <c r="K20">
        <f t="shared" si="1"/>
        <v>2</v>
      </c>
      <c r="L20" s="10">
        <f t="shared" si="2"/>
        <v>-7.5</v>
      </c>
      <c r="M20">
        <f t="shared" si="3"/>
        <v>0</v>
      </c>
      <c r="N20">
        <f t="shared" si="4"/>
        <v>2</v>
      </c>
      <c r="O20" s="11">
        <f t="shared" si="5"/>
        <v>0</v>
      </c>
    </row>
    <row r="21" spans="2:15" x14ac:dyDescent="0.25">
      <c r="B21" t="s">
        <v>78</v>
      </c>
      <c r="H21">
        <v>1</v>
      </c>
      <c r="J21">
        <f t="shared" si="0"/>
        <v>-5</v>
      </c>
      <c r="K21">
        <f t="shared" si="1"/>
        <v>1</v>
      </c>
      <c r="L21" s="10">
        <f t="shared" si="2"/>
        <v>-5</v>
      </c>
      <c r="M21">
        <f t="shared" si="3"/>
        <v>0</v>
      </c>
      <c r="N21">
        <f t="shared" si="4"/>
        <v>1</v>
      </c>
      <c r="O21" s="11">
        <f t="shared" si="5"/>
        <v>0</v>
      </c>
    </row>
    <row r="22" spans="2:15" x14ac:dyDescent="0.25">
      <c r="B22" t="s">
        <v>73</v>
      </c>
      <c r="F22">
        <v>1</v>
      </c>
      <c r="G22">
        <v>1</v>
      </c>
      <c r="H22">
        <v>1</v>
      </c>
      <c r="J22">
        <f t="shared" si="0"/>
        <v>-6</v>
      </c>
      <c r="K22">
        <f t="shared" si="1"/>
        <v>3</v>
      </c>
      <c r="L22" s="10">
        <f t="shared" si="2"/>
        <v>-2</v>
      </c>
      <c r="M22">
        <f t="shared" si="3"/>
        <v>0</v>
      </c>
      <c r="N22">
        <f t="shared" si="4"/>
        <v>2</v>
      </c>
      <c r="O22" s="11">
        <f t="shared" si="5"/>
        <v>0</v>
      </c>
    </row>
    <row r="23" spans="2:15" x14ac:dyDescent="0.25">
      <c r="B23" t="s">
        <v>62</v>
      </c>
      <c r="C23">
        <v>2</v>
      </c>
      <c r="D23">
        <v>2</v>
      </c>
      <c r="E23">
        <v>4</v>
      </c>
      <c r="G23">
        <v>2</v>
      </c>
      <c r="H23">
        <v>3</v>
      </c>
      <c r="I23">
        <v>2</v>
      </c>
      <c r="J23">
        <f t="shared" si="0"/>
        <v>-3</v>
      </c>
      <c r="K23">
        <f t="shared" si="1"/>
        <v>15</v>
      </c>
      <c r="L23" s="10">
        <f t="shared" si="2"/>
        <v>-0.2</v>
      </c>
      <c r="M23">
        <f t="shared" si="3"/>
        <v>8</v>
      </c>
      <c r="N23">
        <f t="shared" si="4"/>
        <v>7</v>
      </c>
      <c r="O23" s="11">
        <f t="shared" si="5"/>
        <v>53.333333333333336</v>
      </c>
    </row>
    <row r="24" spans="2:15" x14ac:dyDescent="0.25">
      <c r="B24" t="s">
        <v>61</v>
      </c>
      <c r="C24">
        <v>1</v>
      </c>
      <c r="D24">
        <v>3</v>
      </c>
      <c r="E24">
        <v>8</v>
      </c>
      <c r="F24">
        <v>1</v>
      </c>
      <c r="G24">
        <v>3</v>
      </c>
      <c r="H24">
        <v>2</v>
      </c>
      <c r="J24">
        <f t="shared" si="0"/>
        <v>20</v>
      </c>
      <c r="K24">
        <f t="shared" si="1"/>
        <v>18</v>
      </c>
      <c r="L24" s="10">
        <f t="shared" si="2"/>
        <v>1.1111111111111112</v>
      </c>
      <c r="M24">
        <f t="shared" si="3"/>
        <v>12</v>
      </c>
      <c r="N24">
        <f t="shared" si="4"/>
        <v>5</v>
      </c>
      <c r="O24" s="11">
        <f t="shared" si="5"/>
        <v>70.588235294117652</v>
      </c>
    </row>
    <row r="25" spans="2:15" x14ac:dyDescent="0.25">
      <c r="B25" t="s">
        <v>63</v>
      </c>
      <c r="C25">
        <v>1</v>
      </c>
      <c r="D25">
        <v>3</v>
      </c>
      <c r="E25">
        <v>1</v>
      </c>
      <c r="F25">
        <v>2</v>
      </c>
      <c r="H25">
        <v>1</v>
      </c>
      <c r="J25">
        <f t="shared" si="0"/>
        <v>21</v>
      </c>
      <c r="K25">
        <f t="shared" si="1"/>
        <v>8</v>
      </c>
      <c r="L25" s="10">
        <f t="shared" si="2"/>
        <v>2.625</v>
      </c>
      <c r="M25">
        <f t="shared" si="3"/>
        <v>5</v>
      </c>
      <c r="N25">
        <f t="shared" si="4"/>
        <v>1</v>
      </c>
      <c r="O25" s="11">
        <f t="shared" si="5"/>
        <v>83.333333333333343</v>
      </c>
    </row>
    <row r="26" spans="2:15" x14ac:dyDescent="0.25">
      <c r="J26">
        <f t="shared" ref="J26:J35" si="6">C26*10+D26*5+E26-G26-H26*5-I26*10</f>
        <v>0</v>
      </c>
      <c r="K26">
        <f t="shared" si="1"/>
        <v>0</v>
      </c>
      <c r="L26" s="10" t="e">
        <f t="shared" si="2"/>
        <v>#DIV/0!</v>
      </c>
      <c r="M26">
        <f t="shared" si="3"/>
        <v>0</v>
      </c>
      <c r="N26">
        <f t="shared" si="4"/>
        <v>0</v>
      </c>
      <c r="O26" s="11" t="e">
        <f t="shared" si="5"/>
        <v>#DIV/0!</v>
      </c>
    </row>
    <row r="27" spans="2:15" x14ac:dyDescent="0.25">
      <c r="J27">
        <f t="shared" si="6"/>
        <v>0</v>
      </c>
      <c r="K27">
        <f t="shared" si="1"/>
        <v>0</v>
      </c>
      <c r="L27" s="10" t="e">
        <f t="shared" si="2"/>
        <v>#DIV/0!</v>
      </c>
      <c r="M27">
        <f t="shared" si="3"/>
        <v>0</v>
      </c>
      <c r="N27">
        <f t="shared" si="4"/>
        <v>0</v>
      </c>
      <c r="O27" s="11" t="e">
        <f t="shared" si="5"/>
        <v>#DIV/0!</v>
      </c>
    </row>
    <row r="28" spans="2:15" x14ac:dyDescent="0.25">
      <c r="J28">
        <f t="shared" si="6"/>
        <v>0</v>
      </c>
      <c r="K28">
        <f t="shared" si="1"/>
        <v>0</v>
      </c>
      <c r="L28" s="10" t="e">
        <f t="shared" si="2"/>
        <v>#DIV/0!</v>
      </c>
      <c r="M28">
        <f t="shared" si="3"/>
        <v>0</v>
      </c>
      <c r="N28">
        <f t="shared" si="4"/>
        <v>0</v>
      </c>
      <c r="O28" s="11" t="e">
        <f t="shared" si="5"/>
        <v>#DIV/0!</v>
      </c>
    </row>
    <row r="29" spans="2:15" x14ac:dyDescent="0.25">
      <c r="J29">
        <f t="shared" si="6"/>
        <v>0</v>
      </c>
      <c r="K29">
        <f t="shared" si="1"/>
        <v>0</v>
      </c>
      <c r="L29" s="10" t="e">
        <f t="shared" si="2"/>
        <v>#DIV/0!</v>
      </c>
      <c r="M29">
        <f t="shared" si="3"/>
        <v>0</v>
      </c>
      <c r="N29">
        <f t="shared" si="4"/>
        <v>0</v>
      </c>
      <c r="O29" s="11" t="e">
        <f t="shared" si="5"/>
        <v>#DIV/0!</v>
      </c>
    </row>
    <row r="30" spans="2:15" x14ac:dyDescent="0.25">
      <c r="J30">
        <f t="shared" si="6"/>
        <v>0</v>
      </c>
      <c r="K30">
        <f t="shared" si="1"/>
        <v>0</v>
      </c>
      <c r="L30" s="10" t="e">
        <f t="shared" si="2"/>
        <v>#DIV/0!</v>
      </c>
      <c r="M30">
        <f t="shared" si="3"/>
        <v>0</v>
      </c>
      <c r="N30">
        <f t="shared" si="4"/>
        <v>0</v>
      </c>
      <c r="O30" s="11" t="e">
        <f t="shared" si="5"/>
        <v>#DIV/0!</v>
      </c>
    </row>
    <row r="31" spans="2:15" x14ac:dyDescent="0.25">
      <c r="J31">
        <f t="shared" si="6"/>
        <v>0</v>
      </c>
      <c r="K31">
        <f t="shared" si="1"/>
        <v>0</v>
      </c>
      <c r="L31" s="10" t="e">
        <f t="shared" si="2"/>
        <v>#DIV/0!</v>
      </c>
      <c r="M31">
        <f t="shared" si="3"/>
        <v>0</v>
      </c>
      <c r="N31">
        <f t="shared" si="4"/>
        <v>0</v>
      </c>
      <c r="O31" s="11" t="e">
        <f t="shared" si="5"/>
        <v>#DIV/0!</v>
      </c>
    </row>
    <row r="32" spans="2:15" x14ac:dyDescent="0.25">
      <c r="J32">
        <f t="shared" si="6"/>
        <v>0</v>
      </c>
      <c r="K32">
        <f t="shared" si="1"/>
        <v>0</v>
      </c>
      <c r="L32" s="10" t="e">
        <f t="shared" si="2"/>
        <v>#DIV/0!</v>
      </c>
      <c r="M32">
        <f t="shared" si="3"/>
        <v>0</v>
      </c>
      <c r="N32">
        <f t="shared" si="4"/>
        <v>0</v>
      </c>
      <c r="O32" s="11" t="e">
        <f t="shared" si="5"/>
        <v>#DIV/0!</v>
      </c>
    </row>
    <row r="33" spans="10:15" x14ac:dyDescent="0.25">
      <c r="J33">
        <f t="shared" si="6"/>
        <v>0</v>
      </c>
      <c r="K33">
        <f t="shared" si="1"/>
        <v>0</v>
      </c>
      <c r="L33" s="10" t="e">
        <f t="shared" si="2"/>
        <v>#DIV/0!</v>
      </c>
      <c r="M33">
        <f t="shared" si="3"/>
        <v>0</v>
      </c>
      <c r="N33">
        <f t="shared" si="4"/>
        <v>0</v>
      </c>
      <c r="O33" s="11" t="e">
        <f t="shared" si="5"/>
        <v>#DIV/0!</v>
      </c>
    </row>
    <row r="34" spans="10:15" x14ac:dyDescent="0.25">
      <c r="J34">
        <f t="shared" si="6"/>
        <v>0</v>
      </c>
      <c r="K34">
        <f t="shared" si="1"/>
        <v>0</v>
      </c>
      <c r="L34" s="10" t="e">
        <f t="shared" si="2"/>
        <v>#DIV/0!</v>
      </c>
      <c r="M34">
        <f t="shared" si="3"/>
        <v>0</v>
      </c>
      <c r="N34">
        <f t="shared" si="4"/>
        <v>0</v>
      </c>
      <c r="O34" s="11" t="e">
        <f t="shared" si="5"/>
        <v>#DIV/0!</v>
      </c>
    </row>
    <row r="35" spans="10:15" x14ac:dyDescent="0.25">
      <c r="J35">
        <f t="shared" si="6"/>
        <v>0</v>
      </c>
      <c r="K35">
        <f t="shared" si="1"/>
        <v>0</v>
      </c>
      <c r="L35" s="10" t="e">
        <f t="shared" si="2"/>
        <v>#DIV/0!</v>
      </c>
      <c r="M35">
        <f t="shared" si="3"/>
        <v>0</v>
      </c>
      <c r="N35">
        <f t="shared" si="4"/>
        <v>0</v>
      </c>
      <c r="O35" s="11" t="e">
        <f t="shared" si="5"/>
        <v>#DIV/0!</v>
      </c>
    </row>
    <row r="36" spans="10:15" x14ac:dyDescent="0.25">
      <c r="O36" s="11"/>
    </row>
    <row r="37" spans="10:15" x14ac:dyDescent="0.25">
      <c r="O37" s="11"/>
    </row>
    <row r="38" spans="10:15" x14ac:dyDescent="0.25">
      <c r="O38" s="11"/>
    </row>
    <row r="39" spans="10:15" x14ac:dyDescent="0.25">
      <c r="O39" s="11"/>
    </row>
    <row r="40" spans="10:15" x14ac:dyDescent="0.25">
      <c r="O40" s="11"/>
    </row>
    <row r="41" spans="10:15" x14ac:dyDescent="0.25">
      <c r="O41" s="11"/>
    </row>
    <row r="42" spans="10:15" x14ac:dyDescent="0.25">
      <c r="O42" s="11"/>
    </row>
    <row r="43" spans="10:15" x14ac:dyDescent="0.25">
      <c r="O43" s="11"/>
    </row>
    <row r="44" spans="10:15" x14ac:dyDescent="0.25">
      <c r="O44" s="11"/>
    </row>
    <row r="45" spans="10:15" x14ac:dyDescent="0.25">
      <c r="O45" s="11"/>
    </row>
    <row r="46" spans="10:15" x14ac:dyDescent="0.25">
      <c r="O46" s="11"/>
    </row>
    <row r="47" spans="10:15" x14ac:dyDescent="0.25">
      <c r="O47" s="11"/>
    </row>
    <row r="48" spans="10:15" x14ac:dyDescent="0.25">
      <c r="O48" s="11"/>
    </row>
    <row r="49" spans="15:15" x14ac:dyDescent="0.25">
      <c r="O49" s="11"/>
    </row>
    <row r="50" spans="15:15" x14ac:dyDescent="0.25">
      <c r="O50" s="11"/>
    </row>
    <row r="51" spans="15:15" x14ac:dyDescent="0.25">
      <c r="O51" s="11"/>
    </row>
    <row r="52" spans="15:15" x14ac:dyDescent="0.25">
      <c r="O52" s="11"/>
    </row>
    <row r="53" spans="15:15" x14ac:dyDescent="0.25">
      <c r="O53" s="11"/>
    </row>
    <row r="54" spans="15:15" x14ac:dyDescent="0.25">
      <c r="O54" s="11"/>
    </row>
    <row r="55" spans="15:15" x14ac:dyDescent="0.25">
      <c r="O55" s="11"/>
    </row>
    <row r="56" spans="15:15" x14ac:dyDescent="0.25">
      <c r="O56" s="11"/>
    </row>
    <row r="57" spans="15:15" x14ac:dyDescent="0.25">
      <c r="O57" s="11"/>
    </row>
    <row r="58" spans="15:15" x14ac:dyDescent="0.25">
      <c r="O58" s="11"/>
    </row>
    <row r="59" spans="15:15" x14ac:dyDescent="0.25">
      <c r="O59" s="11"/>
    </row>
    <row r="60" spans="15:15" x14ac:dyDescent="0.25">
      <c r="O60" s="11"/>
    </row>
    <row r="61" spans="15:15" x14ac:dyDescent="0.25">
      <c r="O61" s="11"/>
    </row>
    <row r="62" spans="15:15" x14ac:dyDescent="0.25">
      <c r="O62" s="11"/>
    </row>
    <row r="63" spans="15:15" x14ac:dyDescent="0.25">
      <c r="O63" s="11"/>
    </row>
    <row r="64" spans="15:15" x14ac:dyDescent="0.25">
      <c r="O64" s="11"/>
    </row>
    <row r="65" spans="15:15" x14ac:dyDescent="0.25">
      <c r="O65" s="11"/>
    </row>
    <row r="66" spans="15:15" x14ac:dyDescent="0.25">
      <c r="O66" s="11"/>
    </row>
    <row r="67" spans="15:15" x14ac:dyDescent="0.25">
      <c r="O67" s="11"/>
    </row>
    <row r="68" spans="15:15" x14ac:dyDescent="0.25">
      <c r="O68" s="11"/>
    </row>
    <row r="69" spans="15:15" x14ac:dyDescent="0.25">
      <c r="O69" s="11"/>
    </row>
    <row r="70" spans="15:15" x14ac:dyDescent="0.25">
      <c r="O70" s="11"/>
    </row>
    <row r="71" spans="15:15" x14ac:dyDescent="0.25">
      <c r="O71" s="11"/>
    </row>
    <row r="72" spans="15:15" x14ac:dyDescent="0.25">
      <c r="O72" s="11"/>
    </row>
    <row r="73" spans="15:15" x14ac:dyDescent="0.25">
      <c r="O73" s="11"/>
    </row>
    <row r="74" spans="15:15" x14ac:dyDescent="0.25">
      <c r="O74" s="11"/>
    </row>
    <row r="75" spans="15:15" x14ac:dyDescent="0.25">
      <c r="O75" s="11"/>
    </row>
    <row r="76" spans="15:15" x14ac:dyDescent="0.25">
      <c r="O76" s="11"/>
    </row>
    <row r="77" spans="15:15" x14ac:dyDescent="0.25">
      <c r="O77" s="11"/>
    </row>
    <row r="78" spans="15:15" x14ac:dyDescent="0.25">
      <c r="O78" s="11"/>
    </row>
    <row r="79" spans="15:15" x14ac:dyDescent="0.25">
      <c r="O79" s="11"/>
    </row>
    <row r="80" spans="15:15" x14ac:dyDescent="0.25">
      <c r="O80" s="11"/>
    </row>
    <row r="81" spans="15:15" x14ac:dyDescent="0.25">
      <c r="O81" s="11"/>
    </row>
    <row r="82" spans="15:15" x14ac:dyDescent="0.25">
      <c r="O82" s="11"/>
    </row>
    <row r="83" spans="15:15" x14ac:dyDescent="0.25">
      <c r="O83" s="11"/>
    </row>
    <row r="84" spans="15:15" x14ac:dyDescent="0.25">
      <c r="O84" s="11"/>
    </row>
    <row r="85" spans="15:15" x14ac:dyDescent="0.25">
      <c r="O85" s="11"/>
    </row>
    <row r="86" spans="15:15" x14ac:dyDescent="0.25">
      <c r="O86" s="11"/>
    </row>
    <row r="87" spans="15:15" x14ac:dyDescent="0.25">
      <c r="O87" s="11"/>
    </row>
    <row r="88" spans="15:15" x14ac:dyDescent="0.25">
      <c r="O88" s="11"/>
    </row>
    <row r="89" spans="15:15" x14ac:dyDescent="0.25">
      <c r="O89" s="11"/>
    </row>
    <row r="90" spans="15:15" x14ac:dyDescent="0.25">
      <c r="O90" s="11"/>
    </row>
    <row r="91" spans="15:15" x14ac:dyDescent="0.25">
      <c r="O91" s="11"/>
    </row>
    <row r="92" spans="15:15" x14ac:dyDescent="0.25">
      <c r="O92" s="11"/>
    </row>
    <row r="93" spans="15:15" x14ac:dyDescent="0.25">
      <c r="O93" s="11"/>
    </row>
    <row r="94" spans="15:15" x14ac:dyDescent="0.25">
      <c r="O94" s="11"/>
    </row>
    <row r="95" spans="15:15" x14ac:dyDescent="0.25">
      <c r="O95" s="11"/>
    </row>
    <row r="96" spans="15:15" x14ac:dyDescent="0.25">
      <c r="O96" s="11"/>
    </row>
    <row r="97" spans="15:15" x14ac:dyDescent="0.25">
      <c r="O97" s="11"/>
    </row>
    <row r="98" spans="15:15" x14ac:dyDescent="0.25">
      <c r="O98" s="11"/>
    </row>
    <row r="99" spans="15:15" x14ac:dyDescent="0.25">
      <c r="O99" s="11"/>
    </row>
    <row r="100" spans="15:15" x14ac:dyDescent="0.25">
      <c r="O100" s="11"/>
    </row>
    <row r="101" spans="15:15" x14ac:dyDescent="0.25">
      <c r="O101" s="11"/>
    </row>
    <row r="102" spans="15:15" x14ac:dyDescent="0.25">
      <c r="O102" s="11"/>
    </row>
    <row r="103" spans="15:15" x14ac:dyDescent="0.25">
      <c r="O103" s="11"/>
    </row>
    <row r="104" spans="15:15" x14ac:dyDescent="0.25">
      <c r="O104" s="11"/>
    </row>
    <row r="105" spans="15:15" x14ac:dyDescent="0.25">
      <c r="O105" s="11"/>
    </row>
    <row r="106" spans="15:15" x14ac:dyDescent="0.25">
      <c r="O106" s="11"/>
    </row>
    <row r="107" spans="15:15" x14ac:dyDescent="0.25">
      <c r="O107" s="11"/>
    </row>
    <row r="108" spans="15:15" x14ac:dyDescent="0.25">
      <c r="O108" s="11"/>
    </row>
    <row r="109" spans="15:15" x14ac:dyDescent="0.25">
      <c r="O109" s="11"/>
    </row>
    <row r="110" spans="15:15" x14ac:dyDescent="0.25">
      <c r="O110" s="11"/>
    </row>
    <row r="111" spans="15:15" x14ac:dyDescent="0.25">
      <c r="O111" s="11"/>
    </row>
  </sheetData>
  <sortState xmlns:xlrd2="http://schemas.microsoft.com/office/spreadsheetml/2017/richdata2" ref="B2:J25">
    <sortCondition ref="B2:B25"/>
  </sortState>
  <conditionalFormatting sqref="J1:J1048576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{ED4A8701-D9DC-40D7-9041-8B0437552167}</x14:id>
        </ext>
      </extLst>
    </cfRule>
  </conditionalFormatting>
  <conditionalFormatting sqref="K1:K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{EB2A134E-270B-4C6D-9190-D08FFE1547A3}</x14:id>
        </ext>
      </extLst>
    </cfRule>
  </conditionalFormatting>
  <conditionalFormatting sqref="L1:L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{D1DED9E8-95D3-492F-AAD6-CB2AEB1A5320}</x14:id>
        </ext>
      </extLst>
    </cfRule>
  </conditionalFormatting>
  <conditionalFormatting sqref="M1:M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{20F88C69-918B-40C1-841B-A5C1C0EC7E7B}</x14:id>
        </ext>
      </extLst>
    </cfRule>
  </conditionalFormatting>
  <conditionalFormatting sqref="N1:N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{B5ED438B-4F7A-4DFB-80CC-570E56939A31}</x14:id>
        </ext>
      </extLst>
    </cfRule>
  </conditionalFormatting>
  <conditionalFormatting sqref="O1:O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{EF194CE7-ABEE-4D80-83A4-68A3FD9BBB53}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A8701-D9DC-40D7-9041-8B04375521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EB2A134E-270B-4C6D-9190-D08FFE1547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D1DED9E8-95D3-492F-AAD6-CB2AEB1A532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20F88C69-918B-40C1-841B-A5C1C0EC7E7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B5ED438B-4F7A-4DFB-80CC-570E56939A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EF194CE7-ABEE-4D80-83A4-68A3FD9BBB5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Тикеры</vt:lpstr>
      <vt:lpstr>История запусков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2026-09-04T11:33:51Z</dcterms:modified>
</cp:coreProperties>
</file>