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FF4850DF-602C-41FA-AEB2-166B8692F6E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1" r:id="rId6"/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7" l="1"/>
  <c r="E11" i="7"/>
  <c r="D12" i="7"/>
  <c r="E12" i="7"/>
  <c r="D13" i="7"/>
  <c r="E13" i="7"/>
  <c r="D14" i="7"/>
  <c r="E14" i="7"/>
  <c r="D15" i="7"/>
  <c r="E15" i="7"/>
  <c r="D16" i="7"/>
  <c r="E16" i="7"/>
  <c r="C12" i="7"/>
  <c r="C13" i="7"/>
  <c r="C14" i="7"/>
  <c r="C15" i="7"/>
  <c r="C16" i="7"/>
  <c r="C11" i="7"/>
  <c r="B12" i="7"/>
  <c r="B13" i="7"/>
  <c r="B14" i="7"/>
  <c r="B15" i="7"/>
  <c r="B16" i="7"/>
  <c r="B11" i="7"/>
  <c r="C10" i="7"/>
  <c r="D10" i="7"/>
  <c r="E10" i="7"/>
  <c r="B10" i="7"/>
  <c r="O65" i="4"/>
  <c r="Q64" i="4"/>
  <c r="O63" i="4"/>
  <c r="Q62" i="4"/>
  <c r="O61" i="4"/>
  <c r="Q60" i="4"/>
  <c r="O60" i="4"/>
  <c r="O59" i="4"/>
  <c r="Q58" i="4"/>
  <c r="O58" i="4"/>
  <c r="O57" i="4"/>
  <c r="Q56" i="4"/>
  <c r="O55" i="4"/>
  <c r="Q54" i="4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O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63" i="4"/>
  <c r="Q59" i="4"/>
  <c r="R58" i="4"/>
  <c r="R56" i="4"/>
  <c r="R54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4" i="4"/>
  <c r="R21" i="4"/>
  <c r="Q19" i="4"/>
  <c r="R18" i="4"/>
  <c r="R17" i="4"/>
  <c r="Q13" i="4"/>
  <c r="S12" i="4"/>
  <c r="S7" i="4"/>
  <c r="R7" i="4"/>
  <c r="Q7" i="4"/>
  <c r="R6" i="4"/>
  <c r="Q5" i="4"/>
  <c r="R2" i="4"/>
  <c r="P6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43" i="4"/>
  <c r="L15" i="4"/>
  <c r="L33" i="4"/>
  <c r="L25" i="4"/>
  <c r="L29" i="4"/>
  <c r="L44" i="4"/>
  <c r="L45" i="4"/>
  <c r="L42" i="4"/>
  <c r="L8" i="4"/>
  <c r="L35" i="4"/>
  <c r="L30" i="4"/>
  <c r="L5" i="4"/>
  <c r="L7" i="4"/>
  <c r="L38" i="4"/>
  <c r="L28" i="4"/>
  <c r="L10" i="4"/>
  <c r="L46" i="4"/>
  <c r="L3" i="4"/>
  <c r="L37" i="4"/>
  <c r="L39" i="4"/>
  <c r="L20" i="4"/>
  <c r="L47" i="4"/>
  <c r="L48" i="4"/>
  <c r="L49" i="4"/>
  <c r="L2" i="4"/>
  <c r="L41" i="4"/>
  <c r="L9" i="4"/>
  <c r="L26" i="4"/>
  <c r="L50" i="4"/>
  <c r="L24" i="4"/>
  <c r="L18" i="4"/>
  <c r="L51" i="4"/>
  <c r="L23" i="4"/>
  <c r="L52" i="4"/>
  <c r="L53" i="4"/>
  <c r="L27" i="4"/>
  <c r="L19" i="4"/>
  <c r="L11" i="4"/>
  <c r="L54" i="4"/>
  <c r="L55" i="4"/>
  <c r="L31" i="4"/>
  <c r="L21" i="4"/>
  <c r="L56" i="4"/>
  <c r="L40" i="4"/>
  <c r="L22" i="4"/>
  <c r="L12" i="4"/>
  <c r="L57" i="4"/>
  <c r="L58" i="4"/>
  <c r="L13" i="4"/>
  <c r="L34" i="4"/>
  <c r="L16" i="4"/>
  <c r="L36" i="4"/>
  <c r="L59" i="4"/>
  <c r="L60" i="4"/>
  <c r="L32" i="4"/>
  <c r="L61" i="4"/>
  <c r="L62" i="4"/>
  <c r="L63" i="4"/>
  <c r="L6" i="4"/>
  <c r="L4" i="4"/>
  <c r="L64" i="4"/>
  <c r="L14" i="4"/>
  <c r="L65" i="4"/>
  <c r="L17" i="4"/>
  <c r="P58" i="4"/>
  <c r="P54" i="4"/>
  <c r="R53" i="4"/>
  <c r="R49" i="4"/>
  <c r="P48" i="4"/>
  <c r="R47" i="4"/>
  <c r="P45" i="4"/>
  <c r="R41" i="4"/>
  <c r="R39" i="4"/>
  <c r="R35" i="4"/>
  <c r="P30" i="4"/>
  <c r="S24" i="4"/>
  <c r="P22" i="4"/>
  <c r="R19" i="4"/>
  <c r="R16" i="4"/>
  <c r="R13" i="4"/>
  <c r="R11" i="4"/>
  <c r="P8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65" i="4"/>
  <c r="S59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43" i="4"/>
  <c r="K43" i="4"/>
  <c r="J15" i="4"/>
  <c r="K15" i="4"/>
  <c r="J33" i="4"/>
  <c r="K33" i="4"/>
  <c r="J25" i="4"/>
  <c r="K25" i="4"/>
  <c r="J29" i="4"/>
  <c r="K29" i="4"/>
  <c r="J44" i="4"/>
  <c r="K44" i="4"/>
  <c r="J45" i="4"/>
  <c r="K45" i="4"/>
  <c r="J42" i="4"/>
  <c r="K42" i="4"/>
  <c r="J8" i="4"/>
  <c r="K8" i="4"/>
  <c r="J35" i="4"/>
  <c r="K35" i="4"/>
  <c r="J30" i="4"/>
  <c r="K30" i="4"/>
  <c r="J5" i="4"/>
  <c r="K5" i="4"/>
  <c r="J7" i="4"/>
  <c r="K7" i="4"/>
  <c r="J38" i="4"/>
  <c r="K38" i="4"/>
  <c r="J28" i="4"/>
  <c r="K28" i="4"/>
  <c r="J10" i="4"/>
  <c r="K10" i="4"/>
  <c r="J46" i="4"/>
  <c r="K46" i="4"/>
  <c r="J3" i="4"/>
  <c r="K3" i="4"/>
  <c r="J37" i="4"/>
  <c r="K37" i="4"/>
  <c r="J39" i="4"/>
  <c r="K39" i="4"/>
  <c r="J20" i="4"/>
  <c r="K20" i="4"/>
  <c r="J47" i="4"/>
  <c r="K47" i="4"/>
  <c r="J48" i="4"/>
  <c r="K48" i="4"/>
  <c r="J49" i="4"/>
  <c r="K49" i="4"/>
  <c r="J2" i="4"/>
  <c r="K2" i="4"/>
  <c r="J41" i="4"/>
  <c r="K41" i="4"/>
  <c r="J9" i="4"/>
  <c r="K9" i="4"/>
  <c r="J26" i="4"/>
  <c r="K26" i="4"/>
  <c r="J50" i="4"/>
  <c r="K50" i="4"/>
  <c r="J24" i="4"/>
  <c r="K24" i="4"/>
  <c r="J18" i="4"/>
  <c r="K18" i="4"/>
  <c r="J51" i="4"/>
  <c r="K51" i="4"/>
  <c r="J23" i="4"/>
  <c r="K23" i="4"/>
  <c r="J52" i="4"/>
  <c r="K52" i="4"/>
  <c r="J53" i="4"/>
  <c r="K53" i="4"/>
  <c r="J27" i="4"/>
  <c r="K27" i="4"/>
  <c r="J19" i="4"/>
  <c r="K19" i="4"/>
  <c r="J11" i="4"/>
  <c r="K11" i="4"/>
  <c r="J54" i="4"/>
  <c r="K54" i="4"/>
  <c r="J55" i="4"/>
  <c r="K55" i="4"/>
  <c r="J31" i="4"/>
  <c r="K31" i="4"/>
  <c r="J21" i="4"/>
  <c r="K21" i="4"/>
  <c r="J56" i="4"/>
  <c r="K56" i="4"/>
  <c r="J40" i="4"/>
  <c r="K40" i="4"/>
  <c r="J22" i="4"/>
  <c r="K22" i="4"/>
  <c r="J12" i="4"/>
  <c r="K12" i="4"/>
  <c r="J57" i="4"/>
  <c r="K57" i="4"/>
  <c r="J58" i="4"/>
  <c r="K58" i="4"/>
  <c r="J13" i="4"/>
  <c r="K13" i="4"/>
  <c r="J34" i="4"/>
  <c r="K34" i="4"/>
  <c r="J16" i="4"/>
  <c r="K16" i="4"/>
  <c r="J36" i="4"/>
  <c r="K36" i="4"/>
  <c r="J59" i="4"/>
  <c r="K59" i="4"/>
  <c r="J60" i="4"/>
  <c r="K60" i="4"/>
  <c r="J32" i="4"/>
  <c r="K32" i="4"/>
  <c r="J61" i="4"/>
  <c r="K61" i="4"/>
  <c r="J62" i="4"/>
  <c r="K62" i="4"/>
  <c r="J63" i="4"/>
  <c r="K63" i="4"/>
  <c r="J6" i="4"/>
  <c r="K6" i="4"/>
  <c r="J4" i="4"/>
  <c r="K4" i="4"/>
  <c r="J64" i="4"/>
  <c r="K64" i="4"/>
  <c r="J14" i="4"/>
  <c r="K14" i="4"/>
  <c r="J65" i="4"/>
  <c r="K65" i="4"/>
  <c r="K17" i="4"/>
  <c r="J17" i="4"/>
  <c r="I43" i="4"/>
  <c r="I15" i="4"/>
  <c r="I33" i="4"/>
  <c r="I25" i="4"/>
  <c r="I29" i="4"/>
  <c r="I44" i="4"/>
  <c r="I45" i="4"/>
  <c r="I42" i="4"/>
  <c r="I8" i="4"/>
  <c r="I35" i="4"/>
  <c r="I30" i="4"/>
  <c r="I5" i="4"/>
  <c r="I7" i="4"/>
  <c r="I38" i="4"/>
  <c r="I28" i="4"/>
  <c r="I10" i="4"/>
  <c r="I46" i="4"/>
  <c r="I3" i="4"/>
  <c r="I37" i="4"/>
  <c r="I39" i="4"/>
  <c r="I20" i="4"/>
  <c r="I47" i="4"/>
  <c r="I48" i="4"/>
  <c r="I49" i="4"/>
  <c r="I2" i="4"/>
  <c r="I41" i="4"/>
  <c r="I9" i="4"/>
  <c r="I26" i="4"/>
  <c r="I50" i="4"/>
  <c r="I24" i="4"/>
  <c r="I18" i="4"/>
  <c r="I51" i="4"/>
  <c r="I23" i="4"/>
  <c r="I52" i="4"/>
  <c r="I53" i="4"/>
  <c r="I27" i="4"/>
  <c r="I19" i="4"/>
  <c r="I11" i="4"/>
  <c r="I54" i="4"/>
  <c r="I55" i="4"/>
  <c r="I31" i="4"/>
  <c r="I21" i="4"/>
  <c r="I56" i="4"/>
  <c r="I40" i="4"/>
  <c r="I22" i="4"/>
  <c r="I12" i="4"/>
  <c r="I57" i="4"/>
  <c r="I58" i="4"/>
  <c r="I13" i="4"/>
  <c r="I34" i="4"/>
  <c r="I16" i="4"/>
  <c r="I36" i="4"/>
  <c r="I59" i="4"/>
  <c r="I60" i="4"/>
  <c r="I32" i="4"/>
  <c r="I61" i="4"/>
  <c r="I62" i="4"/>
  <c r="I63" i="4"/>
  <c r="I6" i="4"/>
  <c r="I4" i="4"/>
  <c r="I64" i="4"/>
  <c r="I14" i="4"/>
  <c r="I65" i="4"/>
  <c r="I17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P55" i="4"/>
  <c r="Q55" i="4"/>
  <c r="R55" i="4"/>
  <c r="P56" i="4"/>
  <c r="P57" i="4"/>
  <c r="Q57" i="4"/>
  <c r="R57" i="4"/>
  <c r="P59" i="4"/>
  <c r="R59" i="4"/>
  <c r="P60" i="4"/>
  <c r="R60" i="4"/>
  <c r="P61" i="4"/>
  <c r="Q61" i="4"/>
  <c r="R61" i="4"/>
  <c r="R62" i="4"/>
  <c r="P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37" i="5"/>
  <c r="G38" i="5"/>
  <c r="G8" i="5"/>
  <c r="G39" i="5"/>
  <c r="G40" i="5"/>
  <c r="G15" i="5"/>
  <c r="G41" i="5"/>
  <c r="G19" i="5"/>
  <c r="G33" i="5"/>
  <c r="G12" i="5"/>
  <c r="G20" i="5"/>
  <c r="G34" i="5"/>
  <c r="G24" i="5"/>
  <c r="G21" i="5"/>
  <c r="G9" i="5"/>
  <c r="G32" i="5"/>
  <c r="G22" i="5"/>
  <c r="G6" i="5"/>
  <c r="G23" i="5"/>
  <c r="G28" i="5"/>
  <c r="G13" i="5"/>
  <c r="G16" i="5"/>
  <c r="G42" i="5"/>
  <c r="G29" i="5"/>
  <c r="G3" i="5"/>
  <c r="G43" i="5"/>
  <c r="G5" i="5"/>
  <c r="G30" i="5"/>
  <c r="G31" i="5"/>
  <c r="G44" i="5"/>
  <c r="G17" i="5"/>
  <c r="G45" i="5"/>
  <c r="G46" i="5"/>
  <c r="G47" i="5"/>
  <c r="G48" i="5"/>
  <c r="G10" i="5"/>
  <c r="G25" i="5"/>
  <c r="G14" i="5"/>
  <c r="G49" i="5"/>
  <c r="G50" i="5"/>
  <c r="G26" i="5"/>
  <c r="G51" i="5"/>
  <c r="G52" i="5"/>
  <c r="G53" i="5"/>
  <c r="G54" i="5"/>
  <c r="G7" i="5"/>
  <c r="G55" i="5"/>
  <c r="G56" i="5"/>
  <c r="G4" i="5"/>
  <c r="G27" i="5"/>
  <c r="G35" i="5"/>
  <c r="G57" i="5"/>
  <c r="G58" i="5"/>
  <c r="G59" i="5"/>
  <c r="G36" i="5"/>
  <c r="G60" i="5"/>
  <c r="G61" i="5"/>
  <c r="G62" i="5"/>
  <c r="G63" i="5"/>
  <c r="G18" i="5"/>
  <c r="G64" i="5"/>
  <c r="G65" i="5"/>
  <c r="G66" i="5"/>
  <c r="G11" i="5"/>
  <c r="F37" i="5"/>
  <c r="F38" i="5"/>
  <c r="F8" i="5"/>
  <c r="F39" i="5"/>
  <c r="F40" i="5"/>
  <c r="F15" i="5"/>
  <c r="F41" i="5"/>
  <c r="F19" i="5"/>
  <c r="F33" i="5"/>
  <c r="F12" i="5"/>
  <c r="F20" i="5"/>
  <c r="F34" i="5"/>
  <c r="F24" i="5"/>
  <c r="F21" i="5"/>
  <c r="F9" i="5"/>
  <c r="F32" i="5"/>
  <c r="F22" i="5"/>
  <c r="F6" i="5"/>
  <c r="F23" i="5"/>
  <c r="F28" i="5"/>
  <c r="F13" i="5"/>
  <c r="F16" i="5"/>
  <c r="F42" i="5"/>
  <c r="F29" i="5"/>
  <c r="F3" i="5"/>
  <c r="F43" i="5"/>
  <c r="F5" i="5"/>
  <c r="F30" i="5"/>
  <c r="F31" i="5"/>
  <c r="F44" i="5"/>
  <c r="F17" i="5"/>
  <c r="F45" i="5"/>
  <c r="F46" i="5"/>
  <c r="F47" i="5"/>
  <c r="F48" i="5"/>
  <c r="F10" i="5"/>
  <c r="F25" i="5"/>
  <c r="F14" i="5"/>
  <c r="F49" i="5"/>
  <c r="F50" i="5"/>
  <c r="F26" i="5"/>
  <c r="F51" i="5"/>
  <c r="F52" i="5"/>
  <c r="F53" i="5"/>
  <c r="F54" i="5"/>
  <c r="F7" i="5"/>
  <c r="F55" i="5"/>
  <c r="F56" i="5"/>
  <c r="F4" i="5"/>
  <c r="F27" i="5"/>
  <c r="F35" i="5"/>
  <c r="F57" i="5"/>
  <c r="F58" i="5"/>
  <c r="F59" i="5"/>
  <c r="F36" i="5"/>
  <c r="F60" i="5"/>
  <c r="F61" i="5"/>
  <c r="F62" i="5"/>
  <c r="F63" i="5"/>
  <c r="F18" i="5"/>
  <c r="F64" i="5"/>
  <c r="F65" i="5"/>
  <c r="F66" i="5"/>
  <c r="F11" i="5"/>
  <c r="E37" i="5"/>
  <c r="E38" i="5"/>
  <c r="E8" i="5"/>
  <c r="E39" i="5"/>
  <c r="E40" i="5"/>
  <c r="E15" i="5"/>
  <c r="E41" i="5"/>
  <c r="E19" i="5"/>
  <c r="E33" i="5"/>
  <c r="E12" i="5"/>
  <c r="E20" i="5"/>
  <c r="E34" i="5"/>
  <c r="E24" i="5"/>
  <c r="E21" i="5"/>
  <c r="E9" i="5"/>
  <c r="E32" i="5"/>
  <c r="E22" i="5"/>
  <c r="E6" i="5"/>
  <c r="E23" i="5"/>
  <c r="E28" i="5"/>
  <c r="E13" i="5"/>
  <c r="E16" i="5"/>
  <c r="E42" i="5"/>
  <c r="E29" i="5"/>
  <c r="E3" i="5"/>
  <c r="E43" i="5"/>
  <c r="E5" i="5"/>
  <c r="E30" i="5"/>
  <c r="E31" i="5"/>
  <c r="E44" i="5"/>
  <c r="E17" i="5"/>
  <c r="E45" i="5"/>
  <c r="E46" i="5"/>
  <c r="E47" i="5"/>
  <c r="E48" i="5"/>
  <c r="E10" i="5"/>
  <c r="E25" i="5"/>
  <c r="E14" i="5"/>
  <c r="E49" i="5"/>
  <c r="E50" i="5"/>
  <c r="E26" i="5"/>
  <c r="E51" i="5"/>
  <c r="E52" i="5"/>
  <c r="E53" i="5"/>
  <c r="E54" i="5"/>
  <c r="E7" i="5"/>
  <c r="E55" i="5"/>
  <c r="E56" i="5"/>
  <c r="E4" i="5"/>
  <c r="E27" i="5"/>
  <c r="E35" i="5"/>
  <c r="E57" i="5"/>
  <c r="E58" i="5"/>
  <c r="E59" i="5"/>
  <c r="E36" i="5"/>
  <c r="E60" i="5"/>
  <c r="E61" i="5"/>
  <c r="E62" i="5"/>
  <c r="E63" i="5"/>
  <c r="E18" i="5"/>
  <c r="E64" i="5"/>
  <c r="E65" i="5"/>
  <c r="E66" i="5"/>
  <c r="E11" i="5"/>
  <c r="D37" i="5"/>
  <c r="D38" i="5"/>
  <c r="D8" i="5"/>
  <c r="D39" i="5"/>
  <c r="D40" i="5"/>
  <c r="D15" i="5"/>
  <c r="D41" i="5"/>
  <c r="D19" i="5"/>
  <c r="D33" i="5"/>
  <c r="D12" i="5"/>
  <c r="D20" i="5"/>
  <c r="D34" i="5"/>
  <c r="D24" i="5"/>
  <c r="D21" i="5"/>
  <c r="D9" i="5"/>
  <c r="D32" i="5"/>
  <c r="D22" i="5"/>
  <c r="D6" i="5"/>
  <c r="D23" i="5"/>
  <c r="D28" i="5"/>
  <c r="D13" i="5"/>
  <c r="D16" i="5"/>
  <c r="D42" i="5"/>
  <c r="D29" i="5"/>
  <c r="D3" i="5"/>
  <c r="D43" i="5"/>
  <c r="D5" i="5"/>
  <c r="D30" i="5"/>
  <c r="D31" i="5"/>
  <c r="D44" i="5"/>
  <c r="D17" i="5"/>
  <c r="D45" i="5"/>
  <c r="D46" i="5"/>
  <c r="D47" i="5"/>
  <c r="D48" i="5"/>
  <c r="D10" i="5"/>
  <c r="D25" i="5"/>
  <c r="D14" i="5"/>
  <c r="D49" i="5"/>
  <c r="D50" i="5"/>
  <c r="D26" i="5"/>
  <c r="D51" i="5"/>
  <c r="D52" i="5"/>
  <c r="D53" i="5"/>
  <c r="D54" i="5"/>
  <c r="D7" i="5"/>
  <c r="D55" i="5"/>
  <c r="D56" i="5"/>
  <c r="D4" i="5"/>
  <c r="D27" i="5"/>
  <c r="D35" i="5"/>
  <c r="D57" i="5"/>
  <c r="D58" i="5"/>
  <c r="D59" i="5"/>
  <c r="D36" i="5"/>
  <c r="D60" i="5"/>
  <c r="D61" i="5"/>
  <c r="D62" i="5"/>
  <c r="D63" i="5"/>
  <c r="D18" i="5"/>
  <c r="D64" i="5"/>
  <c r="D65" i="5"/>
  <c r="D66" i="5"/>
  <c r="D11" i="5"/>
  <c r="B37" i="5"/>
  <c r="C37" i="5" s="1"/>
  <c r="B38" i="5"/>
  <c r="C38" i="5" s="1"/>
  <c r="B8" i="5"/>
  <c r="C8" i="5" s="1"/>
  <c r="B39" i="5"/>
  <c r="C39" i="5" s="1"/>
  <c r="B40" i="5"/>
  <c r="C40" i="5" s="1"/>
  <c r="B15" i="5"/>
  <c r="C15" i="5" s="1"/>
  <c r="B41" i="5"/>
  <c r="C41" i="5" s="1"/>
  <c r="B19" i="5"/>
  <c r="C19" i="5" s="1"/>
  <c r="B33" i="5"/>
  <c r="C33" i="5" s="1"/>
  <c r="B12" i="5"/>
  <c r="C12" i="5" s="1"/>
  <c r="B20" i="5"/>
  <c r="C20" i="5" s="1"/>
  <c r="B34" i="5"/>
  <c r="C34" i="5" s="1"/>
  <c r="B24" i="5"/>
  <c r="C24" i="5" s="1"/>
  <c r="B21" i="5"/>
  <c r="C21" i="5" s="1"/>
  <c r="B9" i="5"/>
  <c r="C9" i="5" s="1"/>
  <c r="B32" i="5"/>
  <c r="C32" i="5" s="1"/>
  <c r="B22" i="5"/>
  <c r="C22" i="5" s="1"/>
  <c r="B6" i="5"/>
  <c r="C6" i="5" s="1"/>
  <c r="B23" i="5"/>
  <c r="C23" i="5" s="1"/>
  <c r="B28" i="5"/>
  <c r="C28" i="5" s="1"/>
  <c r="B13" i="5"/>
  <c r="C13" i="5" s="1"/>
  <c r="B16" i="5"/>
  <c r="C16" i="5" s="1"/>
  <c r="B42" i="5"/>
  <c r="C42" i="5" s="1"/>
  <c r="B29" i="5"/>
  <c r="C29" i="5" s="1"/>
  <c r="B3" i="5"/>
  <c r="C3" i="5" s="1"/>
  <c r="B43" i="5"/>
  <c r="C43" i="5" s="1"/>
  <c r="B5" i="5"/>
  <c r="C5" i="5" s="1"/>
  <c r="B30" i="5"/>
  <c r="C30" i="5" s="1"/>
  <c r="B31" i="5"/>
  <c r="C31" i="5" s="1"/>
  <c r="B44" i="5"/>
  <c r="C44" i="5" s="1"/>
  <c r="B17" i="5"/>
  <c r="C17" i="5" s="1"/>
  <c r="B45" i="5"/>
  <c r="C45" i="5" s="1"/>
  <c r="B46" i="5"/>
  <c r="C46" i="5" s="1"/>
  <c r="B47" i="5"/>
  <c r="C47" i="5" s="1"/>
  <c r="B48" i="5"/>
  <c r="C48" i="5" s="1"/>
  <c r="B10" i="5"/>
  <c r="C10" i="5" s="1"/>
  <c r="B25" i="5"/>
  <c r="C25" i="5" s="1"/>
  <c r="B14" i="5"/>
  <c r="C14" i="5" s="1"/>
  <c r="B49" i="5"/>
  <c r="C49" i="5" s="1"/>
  <c r="B50" i="5"/>
  <c r="C50" i="5" s="1"/>
  <c r="B26" i="5"/>
  <c r="C26" i="5" s="1"/>
  <c r="B51" i="5"/>
  <c r="C51" i="5" s="1"/>
  <c r="B52" i="5"/>
  <c r="C52" i="5" s="1"/>
  <c r="B53" i="5"/>
  <c r="C53" i="5" s="1"/>
  <c r="B54" i="5"/>
  <c r="C54" i="5" s="1"/>
  <c r="B7" i="5"/>
  <c r="C7" i="5" s="1"/>
  <c r="B55" i="5"/>
  <c r="C55" i="5" s="1"/>
  <c r="B56" i="5"/>
  <c r="C56" i="5" s="1"/>
  <c r="B4" i="5"/>
  <c r="C4" i="5" s="1"/>
  <c r="B27" i="5"/>
  <c r="C27" i="5" s="1"/>
  <c r="B35" i="5"/>
  <c r="C35" i="5" s="1"/>
  <c r="B57" i="5"/>
  <c r="C57" i="5" s="1"/>
  <c r="B58" i="5"/>
  <c r="C58" i="5" s="1"/>
  <c r="B59" i="5"/>
  <c r="C59" i="5" s="1"/>
  <c r="B36" i="5"/>
  <c r="C36" i="5" s="1"/>
  <c r="B60" i="5"/>
  <c r="C60" i="5" s="1"/>
  <c r="B61" i="5"/>
  <c r="C61" i="5" s="1"/>
  <c r="B62" i="5"/>
  <c r="C62" i="5" s="1"/>
  <c r="B63" i="5"/>
  <c r="C63" i="5" s="1"/>
  <c r="B18" i="5"/>
  <c r="C18" i="5" s="1"/>
  <c r="B64" i="5"/>
  <c r="C64" i="5" s="1"/>
  <c r="B65" i="5"/>
  <c r="C65" i="5" s="1"/>
  <c r="B66" i="5"/>
  <c r="C66" i="5" s="1"/>
  <c r="B11" i="5"/>
  <c r="C11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<sst xmlns="http://schemas.openxmlformats.org/spreadsheetml/2006/main" count="256" uniqueCount="148">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</sst>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Динамика!$B$3:$E$3</c:f>
              <c:numCache>
                <c:formatCode>General</c:formatCode>
                <c:ptCount val="4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F5-4770-9D74-C7A222ED5A91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Динамика!$B$4:$E$4</c:f>
              <c:numCache>
                <c:formatCode>General</c:formatCode>
                <c:ptCount val="4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5-4770-9D74-C7A222ED5A91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Динамика!$B$5:$E$5</c:f>
              <c:numCache>
                <c:formatCode>General</c:formatCode>
                <c:ptCount val="4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F5-4770-9D74-C7A222ED5A91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Динамика!$B$6:$E$6</c:f>
              <c:numCache>
                <c:formatCode>General</c:formatCode>
                <c:ptCount val="4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F5-4770-9D74-C7A222ED5A91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Динамика!$B$7:$E$7</c:f>
              <c:numCache>
                <c:formatCode>General</c:formatCode>
                <c:ptCount val="4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F5-4770-9D74-C7A222ED5A91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Динамика!$B$2:$E$2</c:f>
              <c:numCache>
                <c:formatCode>m/d/yyyy</c:formatCode>
                <c:ptCount val="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</c:numCache>
            </c:numRef>
          </c:cat>
          <c:val>
            <c:numRef>
              <c:f>Динамика!$B$8:$E$8</c:f>
              <c:numCache>
                <c:formatCode>General</c:formatCode>
                <c:ptCount val="4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F5-4770-9D74-C7A222ED5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7593872"/>
        <c:axId val="1332094976"/>
      </c:lineChart>
      <c:dateAx>
        <c:axId val="165759387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2094976"/>
        <c:crosses val="autoZero"/>
        <c:auto val="1"/>
        <c:lblOffset val="100"/>
        <c:baseTimeUnit val="days"/>
      </c:dateAx>
      <c:valAx>
        <c:axId val="13320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759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590549</xdr:colOff>
      <xdr:row>11</xdr:row>
      <xdr:rowOff>166687</xdr:rowOff>
    </xdr:from>
    <xdr:to>
      <xdr:col>17</xdr:col>
      <xdr:colOff>104774</xdr:colOff>
      <xdr:row>35</xdr:row>
      <xdr:rowOff>123825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C4DE348-C853-4C12-8B37-B46EB6F1F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7.786514004627" createdVersion="7" refreshedVersion="7" minRefreshableVersion="3" recordCount="64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4"/>
    </cacheField>
    <cacheField name="Стратегия" numFmtId="0">
      <sharedItems/>
    </cacheField>
    <cacheField name="Абс" numFmtId="0">
      <sharedItems containsSemiMixedTypes="0" containsString="0" containsNumber="1" minValue="-45.8" maxValue="95.199999999999989"/>
    </cacheField>
    <cacheField name="Отн" numFmtId="0">
      <sharedItems containsSemiMixedTypes="0" containsString="0" containsNumber="1" minValue="-9.16" maxValue="19.040000000000006"/>
    </cacheField>
    <cacheField name="Кол-во" numFmtId="0">
      <sharedItems containsSemiMixedTypes="0" containsString="0" containsNumber="1" containsInteger="1" minValue="0" maxValue="38"/>
    </cacheField>
    <cacheField name="Прибыль" numFmtId="0">
      <sharedItems containsSemiMixedTypes="0" containsString="0" containsNumber="1" containsInteger="1" minValue="0" maxValue="25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5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5.35" maxValue="7.8"/>
    </cacheField>
    <cacheField name="СОП" numFmtId="2">
      <sharedItems containsSemiMixedTypes="0" containsString="0" containsNumber="1" minValue="-3.0700000000000003" maxValue="1.56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8.785760416664" createdVersion="7" refreshedVersion="7" minRefreshableVersion="3" recordCount="41" xr:uid="{93B0B297-F304-40FC-B21C-BCAAF0FA44CB}">
  <cacheSource type="worksheet">
    <worksheetSource ref="A1:L42" sheet="Результаты"/>
  </cacheSource>
  <cacheFields count="12">
    <cacheField name="Номер" numFmtId="0">
      <sharedItems containsSemiMixedTypes="0" containsString="0" containsNumber="1" containsInteger="1" minValue="1" maxValue="41"/>
    </cacheField>
    <cacheField name="Стратегия" numFmtId="0">
      <sharedItems/>
    </cacheField>
    <cacheField name="Абс" numFmtId="0">
      <sharedItems containsSemiMixedTypes="0" containsString="0" containsNumber="1" minValue="-44.3" maxValue="111.79999999999998"/>
    </cacheField>
    <cacheField name="Отн" numFmtId="0">
      <sharedItems containsSemiMixedTypes="0" containsString="0" containsNumber="1" minValue="-8.86" maxValue="22.360000000000007"/>
    </cacheField>
    <cacheField name="Кол-во" numFmtId="0">
      <sharedItems containsSemiMixedTypes="0" containsString="0" containsNumber="1" containsInteger="1" minValue="1" maxValue="44"/>
    </cacheField>
    <cacheField name="Прибыль" numFmtId="0">
      <sharedItems containsSemiMixedTypes="0" containsString="0" containsNumber="1" containsInteger="1" minValue="0" maxValue="30"/>
    </cacheField>
    <cacheField name="Нейтрал" numFmtId="0">
      <sharedItems containsSemiMixedTypes="0" containsString="0" containsNumber="1" containsInteger="1" minValue="0" maxValue="2"/>
    </cacheField>
    <cacheField name="Убыток" numFmtId="0">
      <sharedItems containsSemiMixedTypes="0" containsString="0" containsNumber="1" containsInteger="1" minValue="0" maxValue="15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1.533333333333333" maxValue="5.7333333333333334"/>
    </cacheField>
    <cacheField name="СОП" numFmtId="2">
      <sharedItems containsSemiMixedTypes="0" containsString="0" containsNumber="1" minValue="-2.3066666666666671" maxValue="1.1466666666666667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n v="1"/>
    <s v="PEG17_PHOENIX"/>
    <n v="95.199999999999989"/>
    <n v="19.040000000000006"/>
    <n v="38"/>
    <n v="25"/>
    <n v="0"/>
    <n v="13"/>
    <n v="65.789473684210535"/>
    <n v="2.5052631578947366"/>
    <n v="0.50105263157894753"/>
    <x v="0"/>
  </r>
  <r>
    <n v="2"/>
    <s v="PEG11_KUSURUKEN"/>
    <n v="37.9"/>
    <n v="7.58"/>
    <n v="33"/>
    <n v="17"/>
    <n v="1"/>
    <n v="15"/>
    <n v="51.515151515151516"/>
    <n v="1.1484848484848484"/>
    <n v="0.22969696969696971"/>
    <x v="0"/>
  </r>
  <r>
    <n v="3"/>
    <s v="WEG3_BATYA"/>
    <n v="27.6"/>
    <n v="5.5200000000000005"/>
    <n v="32"/>
    <n v="19"/>
    <n v="0"/>
    <n v="13"/>
    <n v="59.375"/>
    <n v="0.86250000000000004"/>
    <n v="0.17250000000000001"/>
    <x v="1"/>
  </r>
  <r>
    <n v="4"/>
    <s v="LEG2_DRINKER"/>
    <n v="9.5"/>
    <n v="1.9000000000000008"/>
    <n v="19"/>
    <n v="9"/>
    <n v="0"/>
    <n v="10"/>
    <n v="47.368421052631575"/>
    <n v="0.5"/>
    <n v="0.10000000000000005"/>
    <x v="2"/>
  </r>
  <r>
    <n v="5"/>
    <s v="VEG1_VENUS"/>
    <n v="-18.100000000000001"/>
    <n v="-3.6199999999999997"/>
    <n v="18"/>
    <n v="9"/>
    <n v="0"/>
    <n v="9"/>
    <n v="50"/>
    <n v="-1.0055555555555555"/>
    <n v="-0.2011111111111111"/>
    <x v="3"/>
  </r>
  <r>
    <n v="6"/>
    <s v="LEG2_FENNEC"/>
    <n v="22.4"/>
    <n v="4.4800000000000004"/>
    <n v="17"/>
    <n v="12"/>
    <n v="0"/>
    <n v="5"/>
    <n v="70.588235294117652"/>
    <n v="1.3176470588235294"/>
    <n v="0.2635294117647059"/>
    <x v="2"/>
  </r>
  <r>
    <n v="7"/>
    <s v="LEG1_PIN"/>
    <n v="15.399999999999999"/>
    <n v="3.08"/>
    <n v="16"/>
    <n v="7"/>
    <n v="1"/>
    <n v="8"/>
    <n v="43.75"/>
    <n v="0.96249999999999991"/>
    <n v="0.1925"/>
    <x v="2"/>
  </r>
  <r>
    <n v="8"/>
    <s v="PEG18_BLAZE"/>
    <n v="-45.8"/>
    <n v="-9.16"/>
    <n v="13"/>
    <n v="4"/>
    <n v="1"/>
    <n v="8"/>
    <n v="30.76923076923077"/>
    <n v="-3.523076923076923"/>
    <n v="-0.70461538461538464"/>
    <x v="0"/>
  </r>
  <r>
    <n v="9"/>
    <s v="LEG2_LYNX"/>
    <n v="7.7999999999999989"/>
    <n v="1.5599999999999998"/>
    <n v="12"/>
    <n v="8"/>
    <n v="0"/>
    <n v="4"/>
    <n v="66.666666666666657"/>
    <n v="0.64999999999999991"/>
    <n v="0.12999999999999998"/>
    <x v="2"/>
  </r>
  <r>
    <n v="10"/>
    <s v="WEG4_PUPPY"/>
    <n v="17.5"/>
    <n v="3.4999999999999996"/>
    <n v="10"/>
    <n v="6"/>
    <n v="1"/>
    <n v="3"/>
    <n v="60"/>
    <n v="1.75"/>
    <n v="0.35"/>
    <x v="1"/>
  </r>
  <r>
    <n v="11"/>
    <s v="PEG4_UNIVERSAL"/>
    <n v="6.9"/>
    <n v="1.3800000000000003"/>
    <n v="10"/>
    <n v="5"/>
    <n v="1"/>
    <n v="4"/>
    <n v="50"/>
    <n v="0.69000000000000006"/>
    <n v="0.13800000000000004"/>
    <x v="0"/>
  </r>
  <r>
    <n v="12"/>
    <s v="UEG6_PIGEON"/>
    <n v="0.50000000000000178"/>
    <n v="0.10000000000000009"/>
    <n v="9"/>
    <n v="3"/>
    <n v="0"/>
    <n v="6"/>
    <n v="33.333333333333329"/>
    <n v="5.5555555555555754E-2"/>
    <n v="1.111111111111112E-2"/>
    <x v="4"/>
  </r>
  <r>
    <n v="13"/>
    <s v="UEG6_ADVENTURE"/>
    <n v="4.3999999999999986"/>
    <n v="0.87999999999999978"/>
    <n v="9"/>
    <n v="4"/>
    <n v="1"/>
    <n v="4"/>
    <n v="44.444444444444443"/>
    <n v="0.48888888888888871"/>
    <n v="9.7777777777777755E-2"/>
    <x v="4"/>
  </r>
  <r>
    <n v="14"/>
    <s v="LEG1_CC2"/>
    <n v="-8.8999999999999986"/>
    <n v="-1.7799999999999998"/>
    <n v="8"/>
    <n v="4"/>
    <n v="0"/>
    <n v="4"/>
    <n v="50"/>
    <n v="-1.1124999999999998"/>
    <n v="-0.22249999999999998"/>
    <x v="2"/>
  </r>
  <r>
    <n v="15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18_UTER2"/>
    <n v="-13"/>
    <n v="-2.6000000000000005"/>
    <n v="7"/>
    <n v="3"/>
    <n v="0"/>
    <n v="4"/>
    <n v="42.857142857142854"/>
    <n v="-1.8571428571428572"/>
    <n v="-0.3714285714285715"/>
    <x v="0"/>
  </r>
  <r>
    <n v="17"/>
    <s v="LEG1_BIBI2"/>
    <n v="-10"/>
    <n v="-1.9999999999999991"/>
    <n v="7"/>
    <n v="2"/>
    <n v="0"/>
    <n v="5"/>
    <n v="28.571428571428569"/>
    <n v="-1.4285714285714286"/>
    <n v="-0.28571428571428559"/>
    <x v="2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19"/>
    <s v="PEG4_U3"/>
    <n v="5.6"/>
    <n v="1.1199999999999999"/>
    <n v="6"/>
    <n v="5"/>
    <n v="0"/>
    <n v="1"/>
    <n v="83.333333333333343"/>
    <n v="0.93333333333333324"/>
    <n v="0.18666666666666665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0.5"/>
    <n v="-9.9999999999999978E-2"/>
    <n v="4"/>
    <n v="2"/>
    <n v="0"/>
    <n v="2"/>
    <n v="50"/>
    <n v="-0.125"/>
    <n v="-2.4999999999999994E-2"/>
    <x v="0"/>
  </r>
  <r>
    <n v="27"/>
    <s v="LEG1_LAKSAe"/>
    <n v="6"/>
    <n v="1.2"/>
    <n v="3"/>
    <n v="3"/>
    <n v="0"/>
    <n v="0"/>
    <n v="100"/>
    <n v="2"/>
    <n v="0.39999999999999997"/>
    <x v="2"/>
  </r>
  <r>
    <n v="28"/>
    <s v="LEG2_DRG"/>
    <n v="-12"/>
    <n v="-2.4"/>
    <n v="3"/>
    <n v="1"/>
    <n v="0"/>
    <n v="2"/>
    <n v="33.333333333333329"/>
    <n v="-4"/>
    <n v="-0.79999999999999993"/>
    <x v="2"/>
  </r>
  <r>
    <n v="29"/>
    <s v="LEG2_LOGAN"/>
    <n v="-8.0000000000000018"/>
    <n v="-1.6000000000000003"/>
    <n v="3"/>
    <n v="2"/>
    <n v="0"/>
    <n v="1"/>
    <n v="66.666666666666657"/>
    <n v="-2.6666666666666674"/>
    <n v="-0.53333333333333344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35"/>
    <s v="SEG1_LITE"/>
    <n v="14"/>
    <n v="2.8"/>
    <n v="2"/>
    <n v="2"/>
    <n v="0"/>
    <n v="0"/>
    <n v="100"/>
    <n v="7"/>
    <n v="1.4"/>
    <x v="5"/>
  </r>
  <r>
    <n v="36"/>
    <s v="UEG7_PIGEON"/>
    <n v="1.7"/>
    <n v="0.34"/>
    <n v="2"/>
    <n v="1"/>
    <n v="0"/>
    <n v="1"/>
    <n v="50"/>
    <n v="0.85"/>
    <n v="0.17"/>
    <x v="4"/>
  </r>
  <r>
    <n v="37"/>
    <s v="LEG1_IGOGOSHA2"/>
    <n v="1.7000000000000002"/>
    <n v="0.34000000000000008"/>
    <n v="2"/>
    <n v="1"/>
    <n v="0"/>
    <n v="1"/>
    <n v="50"/>
    <n v="0.85000000000000009"/>
    <n v="0.17000000000000004"/>
    <x v="2"/>
  </r>
  <r>
    <n v="38"/>
    <s v="UEG6_SHERIFF"/>
    <n v="15.6"/>
    <n v="3.12"/>
    <n v="2"/>
    <n v="1"/>
    <n v="0"/>
    <n v="1"/>
    <n v="50"/>
    <n v="7.8"/>
    <n v="1.56"/>
    <x v="4"/>
  </r>
  <r>
    <n v="39"/>
    <s v="LEG2_ALKASH"/>
    <n v="-30.7"/>
    <n v="-6.1400000000000006"/>
    <n v="2"/>
    <n v="0"/>
    <n v="0"/>
    <n v="2"/>
    <n v="0"/>
    <n v="-15.35"/>
    <n v="-3.0700000000000003"/>
    <x v="2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  <r>
    <n v="42"/>
    <s v="LEG1_BORSCH"/>
    <n v="0"/>
    <n v="0"/>
    <n v="0"/>
    <n v="0"/>
    <n v="0"/>
    <n v="0"/>
    <n v="0"/>
    <n v="0"/>
    <n v="0"/>
    <x v="2"/>
  </r>
  <r>
    <n v="43"/>
    <s v="LEG1_OKROSHKA"/>
    <n v="0"/>
    <n v="0"/>
    <n v="0"/>
    <n v="0"/>
    <n v="0"/>
    <n v="0"/>
    <n v="0"/>
    <n v="0"/>
    <n v="0"/>
    <x v="2"/>
  </r>
  <r>
    <n v="44"/>
    <s v="LEG1_PHOBO"/>
    <n v="0"/>
    <n v="0"/>
    <n v="0"/>
    <n v="0"/>
    <n v="0"/>
    <n v="0"/>
    <n v="0"/>
    <n v="0"/>
    <n v="0"/>
    <x v="2"/>
  </r>
  <r>
    <n v="45"/>
    <s v="LEG2_MONSTER"/>
    <n v="0"/>
    <n v="0"/>
    <n v="0"/>
    <n v="0"/>
    <n v="0"/>
    <n v="0"/>
    <n v="0"/>
    <n v="0"/>
    <n v="0"/>
    <x v="2"/>
  </r>
  <r>
    <n v="46"/>
    <s v="PEG14_RWDDCr"/>
    <n v="0"/>
    <n v="0"/>
    <n v="0"/>
    <n v="0"/>
    <n v="0"/>
    <n v="0"/>
    <n v="0"/>
    <n v="0"/>
    <n v="0"/>
    <x v="0"/>
  </r>
  <r>
    <n v="47"/>
    <s v="PEG15_ANNA"/>
    <n v="0"/>
    <n v="0"/>
    <n v="0"/>
    <n v="0"/>
    <n v="0"/>
    <n v="0"/>
    <n v="0"/>
    <n v="0"/>
    <n v="0"/>
    <x v="0"/>
  </r>
  <r>
    <n v="48"/>
    <s v="PEG15_SILVANA"/>
    <n v="0"/>
    <n v="0"/>
    <n v="0"/>
    <n v="0"/>
    <n v="0"/>
    <n v="0"/>
    <n v="0"/>
    <n v="0"/>
    <n v="0"/>
    <x v="0"/>
  </r>
  <r>
    <n v="49"/>
    <s v="PEG18_REXXAR2"/>
    <n v="0"/>
    <n v="0"/>
    <n v="0"/>
    <n v="0"/>
    <n v="0"/>
    <n v="0"/>
    <n v="0"/>
    <n v="0"/>
    <n v="0"/>
    <x v="0"/>
  </r>
  <r>
    <n v="50"/>
    <s v="PEG18_VARIAN2"/>
    <n v="0"/>
    <n v="0"/>
    <n v="0"/>
    <n v="0"/>
    <n v="0"/>
    <n v="0"/>
    <n v="0"/>
    <n v="0"/>
    <n v="0"/>
    <x v="0"/>
  </r>
  <r>
    <n v="51"/>
    <s v="PEG2_SDDCr"/>
    <n v="0"/>
    <n v="0"/>
    <n v="0"/>
    <n v="0"/>
    <n v="0"/>
    <n v="0"/>
    <n v="0"/>
    <n v="0"/>
    <n v="0"/>
    <x v="0"/>
  </r>
  <r>
    <n v="52"/>
    <s v="PEG20_HOGGER"/>
    <n v="0"/>
    <n v="0"/>
    <n v="0"/>
    <n v="0"/>
    <n v="0"/>
    <n v="0"/>
    <n v="0"/>
    <n v="0"/>
    <n v="0"/>
    <x v="0"/>
  </r>
  <r>
    <n v="53"/>
    <s v="PEG8_DOBBY"/>
    <n v="0"/>
    <n v="0"/>
    <n v="0"/>
    <n v="0"/>
    <n v="0"/>
    <n v="0"/>
    <n v="0"/>
    <n v="0"/>
    <n v="0"/>
    <x v="0"/>
  </r>
  <r>
    <n v="54"/>
    <s v="PEG8_LOBSTER"/>
    <n v="0"/>
    <n v="0"/>
    <n v="0"/>
    <n v="0"/>
    <n v="0"/>
    <n v="0"/>
    <n v="0"/>
    <n v="0"/>
    <n v="0"/>
    <x v="0"/>
  </r>
  <r>
    <n v="55"/>
    <s v="UEG4_CANADIAN"/>
    <n v="0"/>
    <n v="0"/>
    <n v="0"/>
    <n v="0"/>
    <n v="0"/>
    <n v="0"/>
    <n v="0"/>
    <n v="0"/>
    <n v="0"/>
    <x v="4"/>
  </r>
  <r>
    <n v="56"/>
    <s v="UEG6_DODO"/>
    <n v="0"/>
    <n v="0"/>
    <n v="0"/>
    <n v="0"/>
    <n v="0"/>
    <n v="0"/>
    <n v="0"/>
    <n v="0"/>
    <n v="0"/>
    <x v="4"/>
  </r>
  <r>
    <n v="57"/>
    <s v="UEG6_DUELDODO"/>
    <n v="0"/>
    <n v="0"/>
    <n v="0"/>
    <n v="0"/>
    <n v="0"/>
    <n v="0"/>
    <n v="0"/>
    <n v="0"/>
    <n v="0"/>
    <x v="4"/>
  </r>
  <r>
    <n v="58"/>
    <s v="UEG7_DODO"/>
    <n v="0"/>
    <n v="0"/>
    <n v="0"/>
    <n v="0"/>
    <n v="0"/>
    <n v="0"/>
    <n v="0"/>
    <n v="0"/>
    <n v="0"/>
    <x v="4"/>
  </r>
  <r>
    <n v="59"/>
    <s v="UEG7_DUELDODO"/>
    <n v="0"/>
    <n v="0"/>
    <n v="0"/>
    <n v="0"/>
    <n v="0"/>
    <n v="0"/>
    <n v="0"/>
    <n v="0"/>
    <n v="0"/>
    <x v="4"/>
  </r>
  <r>
    <n v="60"/>
    <s v="UEG7_SHERIFF"/>
    <n v="0"/>
    <n v="0"/>
    <n v="0"/>
    <n v="0"/>
    <n v="0"/>
    <n v="0"/>
    <n v="0"/>
    <n v="0"/>
    <n v="0"/>
    <x v="4"/>
  </r>
  <r>
    <n v="61"/>
    <s v="UEG7_VULTURE"/>
    <n v="0"/>
    <n v="0"/>
    <n v="0"/>
    <n v="0"/>
    <n v="0"/>
    <n v="0"/>
    <n v="0"/>
    <n v="0"/>
    <n v="0"/>
    <x v="4"/>
  </r>
  <r>
    <n v="62"/>
    <s v="UEG8_AVENGER"/>
    <n v="0"/>
    <n v="0"/>
    <n v="0"/>
    <n v="0"/>
    <n v="0"/>
    <n v="0"/>
    <n v="0"/>
    <n v="0"/>
    <n v="0"/>
    <x v="4"/>
  </r>
  <r>
    <n v="63"/>
    <s v="WEG4_DOG"/>
    <n v="0"/>
    <n v="0"/>
    <n v="0"/>
    <n v="0"/>
    <n v="0"/>
    <n v="0"/>
    <n v="0"/>
    <n v="0"/>
    <n v="0"/>
    <x v="1"/>
  </r>
  <r>
    <n v="64"/>
    <s v="WEG7_PARADOX"/>
    <n v="0"/>
    <n v="0"/>
    <n v="0"/>
    <n v="0"/>
    <n v="0"/>
    <n v="0"/>
    <n v="0"/>
    <n v="0"/>
    <n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s v="PEG17_PHOENIX"/>
    <n v="111.79999999999998"/>
    <n v="22.360000000000007"/>
    <n v="44"/>
    <n v="30"/>
    <n v="0"/>
    <n v="14"/>
    <n v="68.181818181818173"/>
    <n v="2.5409090909090906"/>
    <n v="0.50818181818181829"/>
    <x v="0"/>
  </r>
  <r>
    <n v="2"/>
    <s v="PEG11_KUSURUKEN"/>
    <n v="41.9"/>
    <n v="8.3800000000000008"/>
    <n v="34"/>
    <n v="18"/>
    <n v="1"/>
    <n v="15"/>
    <n v="52.941176470588239"/>
    <n v="1.2323529411764707"/>
    <n v="0.24647058823529414"/>
    <x v="0"/>
  </r>
  <r>
    <n v="3"/>
    <s v="WEG3_BATYA"/>
    <n v="41.900000000000006"/>
    <n v="8.3800000000000008"/>
    <n v="33"/>
    <n v="20"/>
    <n v="0"/>
    <n v="13"/>
    <n v="60.606060606060609"/>
    <n v="1.2696969696969698"/>
    <n v="0.25393939393939396"/>
    <x v="1"/>
  </r>
  <r>
    <n v="4"/>
    <s v="LEG2_DRINKER"/>
    <n v="10"/>
    <n v="2.0000000000000009"/>
    <n v="20"/>
    <n v="10"/>
    <n v="0"/>
    <n v="10"/>
    <n v="50"/>
    <n v="0.5"/>
    <n v="0.10000000000000005"/>
    <x v="2"/>
  </r>
  <r>
    <n v="5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6"/>
    <s v="LEG2_FENNEC"/>
    <n v="34"/>
    <n v="6.8000000000000007"/>
    <n v="19"/>
    <n v="14"/>
    <n v="0"/>
    <n v="5"/>
    <n v="73.68421052631578"/>
    <n v="1.7894736842105263"/>
    <n v="0.35789473684210532"/>
    <x v="2"/>
  </r>
  <r>
    <n v="7"/>
    <s v="LEG1_PIN"/>
    <n v="11.2"/>
    <n v="2.2400000000000002"/>
    <n v="17"/>
    <n v="7"/>
    <n v="1"/>
    <n v="9"/>
    <n v="41.17647058823529"/>
    <n v="0.6588235294117647"/>
    <n v="0.13176470588235295"/>
    <x v="2"/>
  </r>
  <r>
    <n v="8"/>
    <s v="PEG18_BLAZE"/>
    <n v="-44.3"/>
    <n v="-8.86"/>
    <n v="14"/>
    <n v="5"/>
    <n v="1"/>
    <n v="8"/>
    <n v="35.714285714285715"/>
    <n v="-3.1642857142857141"/>
    <n v="-0.63285714285714278"/>
    <x v="0"/>
  </r>
  <r>
    <n v="9"/>
    <s v="LEG2_LYNX"/>
    <n v="17.899999999999999"/>
    <n v="3.58"/>
    <n v="14"/>
    <n v="10"/>
    <n v="0"/>
    <n v="4"/>
    <n v="71.428571428571431"/>
    <n v="1.2785714285714285"/>
    <n v="0.25571428571428573"/>
    <x v="2"/>
  </r>
  <r>
    <n v="11"/>
    <s v="PEG4_UNIVERSAL"/>
    <n v="10.9"/>
    <n v="2.1800000000000006"/>
    <n v="13"/>
    <n v="7"/>
    <n v="1"/>
    <n v="5"/>
    <n v="53.846153846153847"/>
    <n v="0.83846153846153848"/>
    <n v="0.16769230769230775"/>
    <x v="0"/>
  </r>
  <r>
    <n v="13"/>
    <s v="UEG6_ADVENTURE"/>
    <n v="5.5999999999999988"/>
    <n v="1.1199999999999997"/>
    <n v="12"/>
    <n v="5"/>
    <n v="2"/>
    <n v="5"/>
    <n v="41.666666666666671"/>
    <n v="0.46666666666666656"/>
    <n v="9.333333333333331E-2"/>
    <x v="4"/>
  </r>
  <r>
    <n v="12"/>
    <s v="UEG6_PIGEON"/>
    <n v="-0.89999999999999813"/>
    <n v="-0.17999999999999988"/>
    <n v="11"/>
    <n v="4"/>
    <n v="0"/>
    <n v="7"/>
    <n v="36.363636363636367"/>
    <n v="-8.1818181818181651E-2"/>
    <n v="-1.6363636363636355E-2"/>
    <x v="4"/>
  </r>
  <r>
    <n v="10"/>
    <s v="WEG4_PUPPY"/>
    <n v="17.5"/>
    <n v="3.4999999999999996"/>
    <n v="10"/>
    <n v="6"/>
    <n v="1"/>
    <n v="3"/>
    <n v="60"/>
    <n v="1.75"/>
    <n v="0.35"/>
    <x v="1"/>
  </r>
  <r>
    <n v="14"/>
    <s v="LEG1_CC2"/>
    <n v="-8.8999999999999986"/>
    <n v="-1.7799999999999998"/>
    <n v="8"/>
    <n v="4"/>
    <n v="0"/>
    <n v="4"/>
    <n v="50"/>
    <n v="-1.1124999999999998"/>
    <n v="-0.22249999999999998"/>
    <x v="2"/>
  </r>
  <r>
    <n v="15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7"/>
    <s v="LEG1_BIBI2"/>
    <n v="-9.4"/>
    <n v="-1.879999999999999"/>
    <n v="8"/>
    <n v="3"/>
    <n v="0"/>
    <n v="5"/>
    <n v="37.5"/>
    <n v="-1.175"/>
    <n v="-0.23499999999999988"/>
    <x v="2"/>
  </r>
  <r>
    <n v="16"/>
    <s v="PEG18_UTER2"/>
    <n v="-13"/>
    <n v="-2.6000000000000005"/>
    <n v="7"/>
    <n v="3"/>
    <n v="0"/>
    <n v="4"/>
    <n v="42.857142857142854"/>
    <n v="-1.8571428571428572"/>
    <n v="-0.3714285714285715"/>
    <x v="0"/>
  </r>
  <r>
    <n v="19"/>
    <s v="PEG4_U3"/>
    <n v="1.1999999999999993"/>
    <n v="0.23999999999999988"/>
    <n v="7"/>
    <n v="5"/>
    <n v="0"/>
    <n v="2"/>
    <n v="71.428571428571431"/>
    <n v="0.17142857142857132"/>
    <n v="3.4285714285714267E-2"/>
    <x v="0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7.5"/>
    <n v="-1.5"/>
    <n v="5"/>
    <n v="2"/>
    <n v="0"/>
    <n v="3"/>
    <n v="40"/>
    <n v="-1.5"/>
    <n v="-0.3"/>
    <x v="0"/>
  </r>
  <r>
    <n v="29"/>
    <s v="LEG2_LOGAN"/>
    <n v="-5.6000000000000014"/>
    <n v="-1.1200000000000003"/>
    <n v="4"/>
    <n v="3"/>
    <n v="0"/>
    <n v="1"/>
    <n v="75"/>
    <n v="-1.4000000000000004"/>
    <n v="-0.28000000000000008"/>
    <x v="2"/>
  </r>
  <r>
    <n v="27"/>
    <s v="LEG1_LAKSAe"/>
    <n v="6"/>
    <n v="1.2"/>
    <n v="3"/>
    <n v="3"/>
    <n v="0"/>
    <n v="0"/>
    <n v="100"/>
    <n v="2"/>
    <n v="0.39999999999999997"/>
    <x v="2"/>
  </r>
  <r>
    <n v="28"/>
    <s v="LEG2_DRG"/>
    <n v="-12"/>
    <n v="-2.4"/>
    <n v="3"/>
    <n v="1"/>
    <n v="0"/>
    <n v="2"/>
    <n v="33.333333333333329"/>
    <n v="-4"/>
    <n v="-0.79999999999999993"/>
    <x v="2"/>
  </r>
  <r>
    <n v="35"/>
    <s v="SEG1_LITE"/>
    <n v="16.2"/>
    <n v="3.2399999999999998"/>
    <n v="3"/>
    <n v="3"/>
    <n v="0"/>
    <n v="0"/>
    <n v="100"/>
    <n v="5.3999999999999995"/>
    <n v="1.0799999999999998"/>
    <x v="5"/>
  </r>
  <r>
    <n v="36"/>
    <s v="UEG7_PIGEON"/>
    <n v="-0.19999999999999996"/>
    <n v="-3.999999999999998E-2"/>
    <n v="3"/>
    <n v="1"/>
    <n v="0"/>
    <n v="2"/>
    <n v="33.333333333333329"/>
    <n v="-6.6666666666666652E-2"/>
    <n v="-1.3333333333333327E-2"/>
    <x v="4"/>
  </r>
  <r>
    <n v="37"/>
    <s v="LEG1_IGOGOSHA2"/>
    <n v="5.8"/>
    <n v="1.1599999999999999"/>
    <n v="3"/>
    <n v="2"/>
    <n v="0"/>
    <n v="1"/>
    <n v="66.666666666666657"/>
    <n v="1.9333333333333333"/>
    <n v="0.38666666666666666"/>
    <x v="2"/>
  </r>
  <r>
    <n v="38"/>
    <s v="UEG6_SHERIFF"/>
    <n v="17.2"/>
    <n v="3.44"/>
    <n v="3"/>
    <n v="2"/>
    <n v="0"/>
    <n v="1"/>
    <n v="66.666666666666657"/>
    <n v="5.7333333333333334"/>
    <n v="1.1466666666666667"/>
    <x v="4"/>
  </r>
  <r>
    <n v="39"/>
    <s v="LEG2_ALKASH"/>
    <n v="-34.6"/>
    <n v="-6.9200000000000008"/>
    <n v="3"/>
    <n v="0"/>
    <n v="0"/>
    <n v="3"/>
    <n v="0"/>
    <n v="-11.533333333333333"/>
    <n v="-2.3066666666666671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CB1275-447E-4587-B9C3-BDD7EB80BE41}" name="Сводная таблица2" cacheId="4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2:G19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9"/>
  <sheetViews>
    <sheetView workbookViewId="0">
      <selection activeCell="A13" sqref="A13:A18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46287</v>
      </c>
    </row>
    <row r="3" spans="1:7" x14ac:dyDescent="0.25">
      <c r="A3" s="13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4" t="s">
        <v>136</v>
      </c>
      <c r="B4" s="12">
        <v>-22.100000000000005</v>
      </c>
      <c r="C4" s="12">
        <v>-4.4199999999999982</v>
      </c>
      <c r="D4" s="12">
        <v>100</v>
      </c>
      <c r="E4" s="12">
        <v>50</v>
      </c>
      <c r="F4" s="12">
        <v>1</v>
      </c>
      <c r="G4" s="12">
        <v>49</v>
      </c>
    </row>
    <row r="5" spans="1:7" x14ac:dyDescent="0.25">
      <c r="A5" s="14" t="s">
        <v>137</v>
      </c>
      <c r="B5" s="12">
        <v>68.3</v>
      </c>
      <c r="C5" s="12">
        <v>13.660000000000002</v>
      </c>
      <c r="D5" s="12">
        <v>137</v>
      </c>
      <c r="E5" s="12">
        <v>72</v>
      </c>
      <c r="F5" s="12">
        <v>4</v>
      </c>
      <c r="G5" s="12">
        <v>61</v>
      </c>
    </row>
    <row r="6" spans="1:7" x14ac:dyDescent="0.25">
      <c r="A6" s="14" t="s">
        <v>138</v>
      </c>
      <c r="B6" s="12">
        <v>15.9</v>
      </c>
      <c r="C6" s="12">
        <v>3.1799999999999997</v>
      </c>
      <c r="D6" s="12">
        <v>7</v>
      </c>
      <c r="E6" s="12">
        <v>5</v>
      </c>
      <c r="F6" s="12">
        <v>0</v>
      </c>
      <c r="G6" s="12">
        <v>2</v>
      </c>
    </row>
    <row r="7" spans="1:7" x14ac:dyDescent="0.25">
      <c r="A7" s="14" t="s">
        <v>139</v>
      </c>
      <c r="B7" s="12">
        <v>-1.4000000000000004</v>
      </c>
      <c r="C7" s="12">
        <v>-0.28000000000000025</v>
      </c>
      <c r="D7" s="12">
        <v>39</v>
      </c>
      <c r="E7" s="12">
        <v>16</v>
      </c>
      <c r="F7" s="12">
        <v>1</v>
      </c>
      <c r="G7" s="12">
        <v>22</v>
      </c>
    </row>
    <row r="8" spans="1:7" x14ac:dyDescent="0.25">
      <c r="A8" s="14" t="s">
        <v>140</v>
      </c>
      <c r="B8" s="12">
        <v>-18.100000000000001</v>
      </c>
      <c r="C8" s="12">
        <v>-3.6199999999999997</v>
      </c>
      <c r="D8" s="12">
        <v>18</v>
      </c>
      <c r="E8" s="12">
        <v>9</v>
      </c>
      <c r="F8" s="12">
        <v>0</v>
      </c>
      <c r="G8" s="12">
        <v>9</v>
      </c>
    </row>
    <row r="9" spans="1:7" x14ac:dyDescent="0.25">
      <c r="A9" s="14" t="s">
        <v>141</v>
      </c>
      <c r="B9" s="12">
        <v>45.1</v>
      </c>
      <c r="C9" s="12">
        <v>9.02</v>
      </c>
      <c r="D9" s="12">
        <v>42</v>
      </c>
      <c r="E9" s="12">
        <v>25</v>
      </c>
      <c r="F9" s="12">
        <v>1</v>
      </c>
      <c r="G9" s="12">
        <v>16</v>
      </c>
    </row>
    <row r="10" spans="1:7" x14ac:dyDescent="0.25">
      <c r="A10" s="14" t="s">
        <v>134</v>
      </c>
      <c r="B10" s="12">
        <v>87.699999999999989</v>
      </c>
      <c r="C10" s="12">
        <v>17.540000000000006</v>
      </c>
      <c r="D10" s="12">
        <v>343</v>
      </c>
      <c r="E10" s="12">
        <v>177</v>
      </c>
      <c r="F10" s="12">
        <v>7</v>
      </c>
      <c r="G10" s="12">
        <v>159</v>
      </c>
    </row>
    <row r="11" spans="1:7" x14ac:dyDescent="0.25">
      <c r="A11" s="16">
        <v>46288</v>
      </c>
    </row>
    <row r="12" spans="1:7" x14ac:dyDescent="0.25">
      <c r="A12" s="13" t="s">
        <v>133</v>
      </c>
      <c r="B12" t="s">
        <v>135</v>
      </c>
      <c r="C12" t="s">
        <v>142</v>
      </c>
      <c r="D12" t="s">
        <v>143</v>
      </c>
      <c r="E12" t="s">
        <v>144</v>
      </c>
      <c r="F12" t="s">
        <v>145</v>
      </c>
      <c r="G12" t="s">
        <v>146</v>
      </c>
    </row>
    <row r="13" spans="1:7" x14ac:dyDescent="0.25">
      <c r="A13" s="14" t="s">
        <v>136</v>
      </c>
      <c r="B13" s="12">
        <v>-0.90000000000001545</v>
      </c>
      <c r="C13" s="12">
        <v>-0.17999999999999994</v>
      </c>
      <c r="D13" s="12">
        <v>110</v>
      </c>
      <c r="E13" s="12">
        <v>58</v>
      </c>
      <c r="F13" s="12">
        <v>1</v>
      </c>
      <c r="G13" s="12">
        <v>51</v>
      </c>
    </row>
    <row r="14" spans="1:7" x14ac:dyDescent="0.25">
      <c r="A14" s="14" t="s">
        <v>137</v>
      </c>
      <c r="B14" s="12">
        <v>83</v>
      </c>
      <c r="C14" s="12">
        <v>16.600000000000005</v>
      </c>
      <c r="D14" s="12">
        <v>150</v>
      </c>
      <c r="E14" s="12">
        <v>81</v>
      </c>
      <c r="F14" s="12">
        <v>4</v>
      </c>
      <c r="G14" s="12">
        <v>65</v>
      </c>
    </row>
    <row r="15" spans="1:7" x14ac:dyDescent="0.25">
      <c r="A15" s="14" t="s">
        <v>138</v>
      </c>
      <c r="B15" s="12">
        <v>18.100000000000001</v>
      </c>
      <c r="C15" s="12">
        <v>3.6199999999999997</v>
      </c>
      <c r="D15" s="12">
        <v>8</v>
      </c>
      <c r="E15" s="12">
        <v>6</v>
      </c>
      <c r="F15" s="12">
        <v>0</v>
      </c>
      <c r="G15" s="12">
        <v>2</v>
      </c>
    </row>
    <row r="16" spans="1:7" x14ac:dyDescent="0.25">
      <c r="A16" s="14" t="s">
        <v>139</v>
      </c>
      <c r="B16" s="12">
        <v>-1.8999999999999986</v>
      </c>
      <c r="C16" s="12">
        <v>-0.38000000000000034</v>
      </c>
      <c r="D16" s="12">
        <v>46</v>
      </c>
      <c r="E16" s="12">
        <v>19</v>
      </c>
      <c r="F16" s="12">
        <v>2</v>
      </c>
      <c r="G16" s="12">
        <v>25</v>
      </c>
    </row>
    <row r="17" spans="1:7" x14ac:dyDescent="0.25">
      <c r="A17" s="14" t="s">
        <v>140</v>
      </c>
      <c r="B17" s="12">
        <v>-22.700000000000003</v>
      </c>
      <c r="C17" s="12">
        <v>-4.5399999999999991</v>
      </c>
      <c r="D17" s="12">
        <v>19</v>
      </c>
      <c r="E17" s="12">
        <v>9</v>
      </c>
      <c r="F17" s="12">
        <v>0</v>
      </c>
      <c r="G17" s="12">
        <v>10</v>
      </c>
    </row>
    <row r="18" spans="1:7" x14ac:dyDescent="0.25">
      <c r="A18" s="14" t="s">
        <v>141</v>
      </c>
      <c r="B18" s="12">
        <v>59.400000000000006</v>
      </c>
      <c r="C18" s="12">
        <v>11.88</v>
      </c>
      <c r="D18" s="12">
        <v>43</v>
      </c>
      <c r="E18" s="12">
        <v>26</v>
      </c>
      <c r="F18" s="12">
        <v>1</v>
      </c>
      <c r="G18" s="12">
        <v>16</v>
      </c>
    </row>
    <row r="19" spans="1:7" x14ac:dyDescent="0.25">
      <c r="A19" s="14" t="s">
        <v>134</v>
      </c>
      <c r="B19" s="12">
        <v>135</v>
      </c>
      <c r="C19" s="12">
        <v>27.000000000000007</v>
      </c>
      <c r="D19" s="12">
        <v>376</v>
      </c>
      <c r="E19" s="12">
        <v>199</v>
      </c>
      <c r="F19" s="12">
        <v>8</v>
      </c>
      <c r="G19" s="12">
        <v>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2:X16"/>
  <sheetViews>
    <sheetView tabSelected="1" workbookViewId="0">
      <pane xSplit="1" topLeftCell="B1" activePane="topRight" state="frozen"/>
      <selection pane="topRight" activeCell="G9" sqref="G9"/>
    </sheetView>
  </sheetViews>
  <sheetFormatPr defaultRowHeight="15" x14ac:dyDescent="0.25"/>
  <cols>
    <col min="2" max="24" width="12.28515625" customWidth="1"/>
  </cols>
  <sheetData>
    <row r="2" spans="1:24" x14ac:dyDescent="0.25">
      <c r="B2" s="16">
        <v>46285</v>
      </c>
      <c r="C2" s="16">
        <v>46286</v>
      </c>
      <c r="D2" s="16">
        <v>46287</v>
      </c>
      <c r="E2" s="16">
        <v>46288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24" x14ac:dyDescent="0.25">
      <c r="A3" t="s">
        <v>136</v>
      </c>
      <c r="B3">
        <v>-20.100000000000001</v>
      </c>
      <c r="C3">
        <v>-39.9</v>
      </c>
      <c r="D3">
        <v>-22.1</v>
      </c>
      <c r="E3">
        <v>-0.9</v>
      </c>
    </row>
    <row r="4" spans="1:24" x14ac:dyDescent="0.25">
      <c r="A4" t="s">
        <v>137</v>
      </c>
      <c r="B4">
        <v>19.7</v>
      </c>
      <c r="C4">
        <v>50.7</v>
      </c>
      <c r="D4">
        <v>68.3</v>
      </c>
      <c r="E4">
        <v>83</v>
      </c>
    </row>
    <row r="5" spans="1:24" x14ac:dyDescent="0.25">
      <c r="A5" t="s">
        <v>138</v>
      </c>
      <c r="B5">
        <v>1.9</v>
      </c>
      <c r="C5">
        <v>9.9</v>
      </c>
      <c r="D5">
        <v>15.9</v>
      </c>
      <c r="E5">
        <v>18.100000000000001</v>
      </c>
    </row>
    <row r="6" spans="1:24" x14ac:dyDescent="0.25">
      <c r="A6" t="s">
        <v>139</v>
      </c>
      <c r="B6">
        <v>-21</v>
      </c>
      <c r="C6">
        <v>-41</v>
      </c>
      <c r="D6">
        <v>-1.4</v>
      </c>
      <c r="E6">
        <v>-1.9</v>
      </c>
    </row>
    <row r="7" spans="1:24" x14ac:dyDescent="0.25">
      <c r="A7" t="s">
        <v>140</v>
      </c>
      <c r="B7">
        <v>-18.100000000000001</v>
      </c>
      <c r="C7">
        <v>-18.100000000000001</v>
      </c>
      <c r="D7">
        <v>-18.100000000000001</v>
      </c>
      <c r="E7">
        <v>-22.7</v>
      </c>
    </row>
    <row r="8" spans="1:24" x14ac:dyDescent="0.25">
      <c r="A8" t="s">
        <v>141</v>
      </c>
      <c r="B8">
        <v>44.5</v>
      </c>
      <c r="C8">
        <v>44.1</v>
      </c>
      <c r="D8">
        <v>45.1</v>
      </c>
      <c r="E8">
        <v>59.4</v>
      </c>
    </row>
    <row r="10" spans="1:24" x14ac:dyDescent="0.25">
      <c r="B10" s="16">
        <f>B2</f>
        <v>46285</v>
      </c>
      <c r="C10" s="16">
        <f t="shared" ref="C10:E10" si="0">C2</f>
        <v>46286</v>
      </c>
      <c r="D10" s="16">
        <f t="shared" si="0"/>
        <v>46287</v>
      </c>
      <c r="E10" s="16">
        <f t="shared" si="0"/>
        <v>46288</v>
      </c>
    </row>
    <row r="11" spans="1:24" x14ac:dyDescent="0.25">
      <c r="A11" t="s">
        <v>136</v>
      </c>
      <c r="B11">
        <f>B3</f>
        <v>-20.100000000000001</v>
      </c>
      <c r="C11">
        <f>C3-B3</f>
        <v>-19.799999999999997</v>
      </c>
      <c r="D11">
        <f t="shared" ref="D11:E11" si="1">D3-C3</f>
        <v>17.799999999999997</v>
      </c>
      <c r="E11">
        <f t="shared" si="1"/>
        <v>21.200000000000003</v>
      </c>
    </row>
    <row r="12" spans="1:24" x14ac:dyDescent="0.25">
      <c r="A12" t="s">
        <v>137</v>
      </c>
      <c r="B12">
        <f t="shared" ref="B12:B16" si="2">B4</f>
        <v>19.7</v>
      </c>
      <c r="C12">
        <f t="shared" ref="C12:E16" si="3">C4-B4</f>
        <v>31.000000000000004</v>
      </c>
      <c r="D12">
        <f t="shared" si="3"/>
        <v>17.599999999999994</v>
      </c>
      <c r="E12">
        <f t="shared" si="3"/>
        <v>14.700000000000003</v>
      </c>
    </row>
    <row r="13" spans="1:24" x14ac:dyDescent="0.25">
      <c r="A13" t="s">
        <v>138</v>
      </c>
      <c r="B13">
        <f t="shared" si="2"/>
        <v>1.9</v>
      </c>
      <c r="C13">
        <f t="shared" si="3"/>
        <v>8</v>
      </c>
      <c r="D13">
        <f t="shared" si="3"/>
        <v>6</v>
      </c>
      <c r="E13">
        <f t="shared" si="3"/>
        <v>2.2000000000000011</v>
      </c>
    </row>
    <row r="14" spans="1:24" x14ac:dyDescent="0.25">
      <c r="A14" t="s">
        <v>139</v>
      </c>
      <c r="B14">
        <f t="shared" si="2"/>
        <v>-21</v>
      </c>
      <c r="C14">
        <f t="shared" si="3"/>
        <v>-20</v>
      </c>
      <c r="D14">
        <f t="shared" si="3"/>
        <v>39.6</v>
      </c>
      <c r="E14">
        <f t="shared" si="3"/>
        <v>-0.5</v>
      </c>
    </row>
    <row r="15" spans="1:24" x14ac:dyDescent="0.25">
      <c r="A15" t="s">
        <v>140</v>
      </c>
      <c r="B15">
        <f t="shared" si="2"/>
        <v>-18.100000000000001</v>
      </c>
      <c r="C15">
        <f t="shared" si="3"/>
        <v>0</v>
      </c>
      <c r="D15">
        <f t="shared" si="3"/>
        <v>0</v>
      </c>
      <c r="E15">
        <f t="shared" si="3"/>
        <v>-4.5999999999999979</v>
      </c>
    </row>
    <row r="16" spans="1:24" x14ac:dyDescent="0.25">
      <c r="A16" t="s">
        <v>141</v>
      </c>
      <c r="B16">
        <f t="shared" si="2"/>
        <v>44.5</v>
      </c>
      <c r="C16">
        <f t="shared" si="3"/>
        <v>-0.39999999999999858</v>
      </c>
      <c r="D16">
        <f t="shared" si="3"/>
        <v>1</v>
      </c>
      <c r="E16">
        <f t="shared" si="3"/>
        <v>14.299999999999997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opLeftCell="A29" workbookViewId="0">
      <selection activeCell="B2" sqref="B2:B65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65</v>
      </c>
      <c r="C2">
        <v>111.79999999999998</v>
      </c>
      <c r="D2">
        <v>22.360000000000007</v>
      </c>
      <c r="E2">
        <v>44</v>
      </c>
      <c r="F2">
        <v>30</v>
      </c>
      <c r="G2">
        <v>0</v>
      </c>
      <c r="H2">
        <v>14</v>
      </c>
      <c r="I2" s="7">
        <f>IFERROR((F2/E2)*100,0)</f>
        <v>68.181818181818173</v>
      </c>
      <c r="J2" s="10">
        <f>IFERROR(C2/E2,0)</f>
        <v>2.5409090909090906</v>
      </c>
      <c r="K2" s="10">
        <f>IFERROR(D2/E2,0)</f>
        <v>0.50818181818181829</v>
      </c>
      <c r="L2" s="10" t="str">
        <f>LEFT(B2,3)</f>
        <v>PEG</v>
      </c>
      <c r="N2">
        <f t="shared" ref="N2:S2" si="0">C2+U2</f>
        <v>111.79999999999998</v>
      </c>
      <c r="O2">
        <f t="shared" si="0"/>
        <v>22.360000000000007</v>
      </c>
      <c r="P2">
        <f t="shared" si="0"/>
        <v>44</v>
      </c>
      <c r="Q2">
        <f t="shared" si="0"/>
        <v>30</v>
      </c>
      <c r="R2">
        <f t="shared" si="0"/>
        <v>0</v>
      </c>
      <c r="S2">
        <f t="shared" si="0"/>
        <v>14</v>
      </c>
    </row>
    <row r="3" spans="1:26" x14ac:dyDescent="0.25">
      <c r="A3">
        <v>2</v>
      </c>
      <c r="B3" t="s">
        <v>64</v>
      </c>
      <c r="C3">
        <v>41.9</v>
      </c>
      <c r="D3">
        <v>8.3800000000000008</v>
      </c>
      <c r="E3">
        <v>34</v>
      </c>
      <c r="F3">
        <v>18</v>
      </c>
      <c r="G3">
        <v>1</v>
      </c>
      <c r="H3">
        <v>15</v>
      </c>
      <c r="I3" s="7">
        <f>IFERROR((F3/E3)*100,0)</f>
        <v>52.941176470588239</v>
      </c>
      <c r="J3" s="10">
        <f>IFERROR(C3/E3,0)</f>
        <v>1.2323529411764707</v>
      </c>
      <c r="K3" s="10">
        <f>IFERROR(D3/E3,0)</f>
        <v>0.24647058823529414</v>
      </c>
      <c r="L3" s="10" t="str">
        <f>LEFT(B3,3)</f>
        <v>PEG</v>
      </c>
      <c r="N3">
        <f t="shared" ref="N3:N64" si="1">C3+U3</f>
        <v>41.9</v>
      </c>
      <c r="O3">
        <f t="shared" ref="O3:O17" si="2">D3+V3</f>
        <v>8.3800000000000008</v>
      </c>
      <c r="P3">
        <f t="shared" ref="P3:P17" si="3">E3+W3</f>
        <v>34</v>
      </c>
      <c r="Q3">
        <f t="shared" ref="Q3:Q17" si="4">F3+X3</f>
        <v>18</v>
      </c>
      <c r="R3">
        <f t="shared" ref="R3:R17" si="5">G3+Y3</f>
        <v>1</v>
      </c>
      <c r="S3">
        <f t="shared" ref="S3:S17" si="6">H3+Z3</f>
        <v>15</v>
      </c>
    </row>
    <row r="4" spans="1:26" x14ac:dyDescent="0.25">
      <c r="A4">
        <v>3</v>
      </c>
      <c r="B4" t="s">
        <v>56</v>
      </c>
      <c r="C4">
        <v>41.900000000000006</v>
      </c>
      <c r="D4">
        <v>8.3800000000000008</v>
      </c>
      <c r="E4">
        <v>33</v>
      </c>
      <c r="F4">
        <v>20</v>
      </c>
      <c r="G4">
        <v>0</v>
      </c>
      <c r="H4">
        <v>13</v>
      </c>
      <c r="I4" s="7">
        <f>IFERROR((F4/E4)*100,0)</f>
        <v>60.606060606060609</v>
      </c>
      <c r="J4" s="10">
        <f>IFERROR(C4/E4,0)</f>
        <v>1.2696969696969698</v>
      </c>
      <c r="K4" s="10">
        <f>IFERROR(D4/E4,0)</f>
        <v>0.25393939393939396</v>
      </c>
      <c r="L4" s="10" t="str">
        <f>LEFT(B4,3)</f>
        <v>WEG</v>
      </c>
      <c r="N4">
        <f t="shared" si="1"/>
        <v>41.900000000000006</v>
      </c>
      <c r="O4">
        <f t="shared" si="2"/>
        <v>8.3800000000000008</v>
      </c>
      <c r="P4">
        <f t="shared" si="3"/>
        <v>33</v>
      </c>
      <c r="Q4">
        <f t="shared" si="4"/>
        <v>20</v>
      </c>
      <c r="R4">
        <f t="shared" si="5"/>
        <v>0</v>
      </c>
      <c r="S4">
        <f t="shared" si="6"/>
        <v>13</v>
      </c>
    </row>
    <row r="5" spans="1:26" x14ac:dyDescent="0.25">
      <c r="A5">
        <v>4</v>
      </c>
      <c r="B5" t="s">
        <v>55</v>
      </c>
      <c r="C5">
        <v>10</v>
      </c>
      <c r="D5">
        <v>2.0000000000000009</v>
      </c>
      <c r="E5">
        <v>20</v>
      </c>
      <c r="F5">
        <v>10</v>
      </c>
      <c r="G5">
        <v>0</v>
      </c>
      <c r="H5">
        <v>10</v>
      </c>
      <c r="I5" s="7">
        <f>IFERROR((F5/E5)*100,0)</f>
        <v>50</v>
      </c>
      <c r="J5" s="10">
        <f>IFERROR(C5/E5,0)</f>
        <v>0.5</v>
      </c>
      <c r="K5" s="10">
        <f>IFERROR(D5/E5,0)</f>
        <v>0.10000000000000005</v>
      </c>
      <c r="L5" s="10" t="str">
        <f>LEFT(B5,3)</f>
        <v>LEG</v>
      </c>
      <c r="N5">
        <f t="shared" si="1"/>
        <v>10</v>
      </c>
      <c r="O5">
        <f t="shared" si="2"/>
        <v>2.0000000000000009</v>
      </c>
      <c r="P5">
        <f t="shared" si="3"/>
        <v>20</v>
      </c>
      <c r="Q5">
        <f t="shared" si="4"/>
        <v>10</v>
      </c>
      <c r="R5">
        <f t="shared" si="5"/>
        <v>0</v>
      </c>
      <c r="S5">
        <f t="shared" si="6"/>
        <v>10</v>
      </c>
    </row>
    <row r="6" spans="1:26" x14ac:dyDescent="0.25">
      <c r="A6">
        <v>5</v>
      </c>
      <c r="B6" t="s">
        <v>57</v>
      </c>
      <c r="C6">
        <v>-22.700000000000003</v>
      </c>
      <c r="D6">
        <v>-4.5399999999999991</v>
      </c>
      <c r="E6">
        <v>19</v>
      </c>
      <c r="F6">
        <v>9</v>
      </c>
      <c r="G6">
        <v>0</v>
      </c>
      <c r="H6">
        <v>10</v>
      </c>
      <c r="I6" s="7">
        <f>IFERROR((F6/E6)*100,0)</f>
        <v>47.368421052631575</v>
      </c>
      <c r="J6" s="10">
        <f>IFERROR(C6/E6,0)</f>
        <v>-1.1947368421052633</v>
      </c>
      <c r="K6" s="10">
        <f>IFERROR(D6/E6,0)</f>
        <v>-0.23894736842105258</v>
      </c>
      <c r="L6" s="10" t="str">
        <f>LEFT(B6,3)</f>
        <v>VEG</v>
      </c>
      <c r="N6">
        <f t="shared" si="1"/>
        <v>-22.700000000000003</v>
      </c>
      <c r="O6">
        <f t="shared" si="2"/>
        <v>-4.5399999999999991</v>
      </c>
      <c r="P6">
        <f t="shared" si="3"/>
        <v>19</v>
      </c>
      <c r="Q6">
        <f t="shared" si="4"/>
        <v>9</v>
      </c>
      <c r="R6">
        <f t="shared" si="5"/>
        <v>0</v>
      </c>
      <c r="S6">
        <f t="shared" si="6"/>
        <v>10</v>
      </c>
    </row>
    <row r="7" spans="1:26" x14ac:dyDescent="0.25">
      <c r="A7">
        <v>6</v>
      </c>
      <c r="B7" t="s">
        <v>62</v>
      </c>
      <c r="C7">
        <v>34</v>
      </c>
      <c r="D7">
        <v>6.8000000000000007</v>
      </c>
      <c r="E7">
        <v>19</v>
      </c>
      <c r="F7">
        <v>14</v>
      </c>
      <c r="G7">
        <v>0</v>
      </c>
      <c r="H7">
        <v>5</v>
      </c>
      <c r="I7" s="7">
        <f>IFERROR((F7/E7)*100,0)</f>
        <v>73.68421052631578</v>
      </c>
      <c r="J7" s="10">
        <f>IFERROR(C7/E7,0)</f>
        <v>1.7894736842105263</v>
      </c>
      <c r="K7" s="10">
        <f>IFERROR(D7/E7,0)</f>
        <v>0.35789473684210532</v>
      </c>
      <c r="L7" s="10" t="str">
        <f>LEFT(B7,3)</f>
        <v>LEG</v>
      </c>
      <c r="N7">
        <f t="shared" si="1"/>
        <v>34</v>
      </c>
      <c r="O7">
        <f t="shared" si="2"/>
        <v>6.8000000000000007</v>
      </c>
      <c r="P7">
        <f t="shared" si="3"/>
        <v>19</v>
      </c>
      <c r="Q7">
        <f t="shared" si="4"/>
        <v>14</v>
      </c>
      <c r="R7">
        <f t="shared" si="5"/>
        <v>0</v>
      </c>
      <c r="S7">
        <f t="shared" si="6"/>
        <v>5</v>
      </c>
    </row>
    <row r="8" spans="1:26" x14ac:dyDescent="0.25">
      <c r="A8">
        <v>7</v>
      </c>
      <c r="B8" t="s">
        <v>67</v>
      </c>
      <c r="C8">
        <v>11.2</v>
      </c>
      <c r="D8">
        <v>2.2400000000000002</v>
      </c>
      <c r="E8">
        <v>17</v>
      </c>
      <c r="F8">
        <v>7</v>
      </c>
      <c r="G8">
        <v>1</v>
      </c>
      <c r="H8">
        <v>9</v>
      </c>
      <c r="I8" s="7">
        <f>IFERROR((F8/E8)*100,0)</f>
        <v>41.17647058823529</v>
      </c>
      <c r="J8" s="10">
        <f>IFERROR(C8/E8,0)</f>
        <v>0.6588235294117647</v>
      </c>
      <c r="K8" s="10">
        <f>IFERROR(D8/E8,0)</f>
        <v>0.13176470588235295</v>
      </c>
      <c r="L8" s="10" t="str">
        <f>LEFT(B8,3)</f>
        <v>LEG</v>
      </c>
      <c r="N8">
        <f t="shared" si="1"/>
        <v>11.2</v>
      </c>
      <c r="O8">
        <f t="shared" si="2"/>
        <v>2.2400000000000002</v>
      </c>
      <c r="P8">
        <f t="shared" si="3"/>
        <v>17</v>
      </c>
      <c r="Q8">
        <f t="shared" si="4"/>
        <v>7</v>
      </c>
      <c r="R8">
        <f t="shared" si="5"/>
        <v>1</v>
      </c>
      <c r="S8">
        <f t="shared" si="6"/>
        <v>9</v>
      </c>
    </row>
    <row r="9" spans="1:26" x14ac:dyDescent="0.25">
      <c r="A9">
        <v>8</v>
      </c>
      <c r="B9" t="s">
        <v>59</v>
      </c>
      <c r="C9">
        <v>-44.3</v>
      </c>
      <c r="D9">
        <v>-8.86</v>
      </c>
      <c r="E9">
        <v>14</v>
      </c>
      <c r="F9">
        <v>5</v>
      </c>
      <c r="G9">
        <v>1</v>
      </c>
      <c r="H9">
        <v>8</v>
      </c>
      <c r="I9" s="7">
        <f>IFERROR((F9/E9)*100,0)</f>
        <v>35.714285714285715</v>
      </c>
      <c r="J9" s="10">
        <f>IFERROR(C9/E9,0)</f>
        <v>-3.1642857142857141</v>
      </c>
      <c r="K9" s="10">
        <f>IFERROR(D9/E9,0)</f>
        <v>-0.63285714285714278</v>
      </c>
      <c r="L9" s="10" t="str">
        <f>LEFT(B9,3)</f>
        <v>PEG</v>
      </c>
      <c r="N9">
        <f t="shared" si="1"/>
        <v>-44.3</v>
      </c>
      <c r="O9">
        <f t="shared" si="2"/>
        <v>-8.86</v>
      </c>
      <c r="P9">
        <f t="shared" si="3"/>
        <v>14</v>
      </c>
      <c r="Q9">
        <f t="shared" si="4"/>
        <v>5</v>
      </c>
      <c r="R9">
        <f t="shared" si="5"/>
        <v>1</v>
      </c>
      <c r="S9">
        <f t="shared" si="6"/>
        <v>8</v>
      </c>
    </row>
    <row r="10" spans="1:26" x14ac:dyDescent="0.25">
      <c r="A10">
        <v>9</v>
      </c>
      <c r="B10" t="s">
        <v>60</v>
      </c>
      <c r="C10">
        <v>17.899999999999999</v>
      </c>
      <c r="D10">
        <v>3.58</v>
      </c>
      <c r="E10">
        <v>14</v>
      </c>
      <c r="F10">
        <v>10</v>
      </c>
      <c r="G10">
        <v>0</v>
      </c>
      <c r="H10">
        <v>4</v>
      </c>
      <c r="I10" s="7">
        <f>IFERROR((F10/E10)*100,0)</f>
        <v>71.428571428571431</v>
      </c>
      <c r="J10" s="10">
        <f>IFERROR(C10/E10,0)</f>
        <v>1.2785714285714285</v>
      </c>
      <c r="K10" s="10">
        <f>IFERROR(D10/E10,0)</f>
        <v>0.25571428571428573</v>
      </c>
      <c r="L10" s="10" t="str">
        <f>LEFT(B10,3)</f>
        <v>LEG</v>
      </c>
      <c r="N10">
        <f t="shared" si="1"/>
        <v>17.899999999999999</v>
      </c>
      <c r="O10">
        <f t="shared" si="2"/>
        <v>3.58</v>
      </c>
      <c r="P10">
        <f t="shared" si="3"/>
        <v>14</v>
      </c>
      <c r="Q10">
        <f t="shared" si="4"/>
        <v>10</v>
      </c>
      <c r="R10">
        <f t="shared" si="5"/>
        <v>0</v>
      </c>
      <c r="S10">
        <f t="shared" si="6"/>
        <v>4</v>
      </c>
    </row>
    <row r="11" spans="1:26" x14ac:dyDescent="0.25">
      <c r="A11">
        <v>11</v>
      </c>
      <c r="B11" t="s">
        <v>77</v>
      </c>
      <c r="C11">
        <v>10.9</v>
      </c>
      <c r="D11">
        <v>2.1800000000000006</v>
      </c>
      <c r="E11">
        <v>13</v>
      </c>
      <c r="F11">
        <v>7</v>
      </c>
      <c r="G11">
        <v>1</v>
      </c>
      <c r="H11">
        <v>5</v>
      </c>
      <c r="I11" s="7">
        <f>IFERROR((F11/E11)*100,0)</f>
        <v>53.846153846153847</v>
      </c>
      <c r="J11" s="10">
        <f>IFERROR(C11/E11,0)</f>
        <v>0.83846153846153848</v>
      </c>
      <c r="K11" s="10">
        <f>IFERROR(D11/E11,0)</f>
        <v>0.16769230769230775</v>
      </c>
      <c r="L11" s="10" t="str">
        <f>LEFT(B11,3)</f>
        <v>PEG</v>
      </c>
      <c r="N11">
        <f t="shared" si="1"/>
        <v>10.9</v>
      </c>
      <c r="O11">
        <f t="shared" si="2"/>
        <v>2.1800000000000006</v>
      </c>
      <c r="P11">
        <f t="shared" si="3"/>
        <v>13</v>
      </c>
      <c r="Q11">
        <f t="shared" si="4"/>
        <v>7</v>
      </c>
      <c r="R11">
        <f t="shared" si="5"/>
        <v>1</v>
      </c>
      <c r="S11">
        <f t="shared" si="6"/>
        <v>5</v>
      </c>
    </row>
    <row r="12" spans="1:26" x14ac:dyDescent="0.25">
      <c r="A12">
        <v>13</v>
      </c>
      <c r="B12" t="s">
        <v>92</v>
      </c>
      <c r="C12">
        <v>5.5999999999999988</v>
      </c>
      <c r="D12">
        <v>1.1199999999999997</v>
      </c>
      <c r="E12">
        <v>12</v>
      </c>
      <c r="F12">
        <v>5</v>
      </c>
      <c r="G12">
        <v>2</v>
      </c>
      <c r="H12">
        <v>5</v>
      </c>
      <c r="I12" s="7">
        <f>IFERROR((F12/E12)*100,0)</f>
        <v>41.666666666666671</v>
      </c>
      <c r="J12" s="10">
        <f>IFERROR(C12/E12,0)</f>
        <v>0.46666666666666656</v>
      </c>
      <c r="K12" s="10">
        <f>IFERROR(D12/E12,0)</f>
        <v>9.333333333333331E-2</v>
      </c>
      <c r="L12" s="10" t="str">
        <f>LEFT(B12,3)</f>
        <v>UEG</v>
      </c>
      <c r="N12">
        <f t="shared" si="1"/>
        <v>5.5999999999999988</v>
      </c>
      <c r="O12">
        <f t="shared" si="2"/>
        <v>1.1199999999999997</v>
      </c>
      <c r="P12">
        <f t="shared" si="3"/>
        <v>12</v>
      </c>
      <c r="Q12">
        <f t="shared" si="4"/>
        <v>5</v>
      </c>
      <c r="R12">
        <f t="shared" si="5"/>
        <v>2</v>
      </c>
      <c r="S12">
        <f t="shared" si="6"/>
        <v>5</v>
      </c>
    </row>
    <row r="13" spans="1:26" x14ac:dyDescent="0.25">
      <c r="A13">
        <v>12</v>
      </c>
      <c r="B13" t="s">
        <v>73</v>
      </c>
      <c r="C13">
        <v>-0.89999999999999813</v>
      </c>
      <c r="D13">
        <v>-0.17999999999999988</v>
      </c>
      <c r="E13">
        <v>11</v>
      </c>
      <c r="F13">
        <v>4</v>
      </c>
      <c r="G13">
        <v>0</v>
      </c>
      <c r="H13">
        <v>7</v>
      </c>
      <c r="I13" s="7">
        <f>IFERROR((F13/E13)*100,0)</f>
        <v>36.363636363636367</v>
      </c>
      <c r="J13" s="10">
        <f>IFERROR(C13/E13,0)</f>
        <v>-8.1818181818181651E-2</v>
      </c>
      <c r="K13" s="10">
        <f>IFERROR(D13/E13,0)</f>
        <v>-1.6363636363636355E-2</v>
      </c>
      <c r="L13" s="10" t="str">
        <f>LEFT(B13,3)</f>
        <v>UEG</v>
      </c>
      <c r="N13">
        <f t="shared" si="1"/>
        <v>-0.89999999999999813</v>
      </c>
      <c r="O13">
        <f t="shared" si="2"/>
        <v>-0.17999999999999988</v>
      </c>
      <c r="P13">
        <f t="shared" si="3"/>
        <v>11</v>
      </c>
      <c r="Q13">
        <f t="shared" si="4"/>
        <v>4</v>
      </c>
      <c r="R13">
        <f t="shared" si="5"/>
        <v>0</v>
      </c>
      <c r="S13">
        <f t="shared" si="6"/>
        <v>7</v>
      </c>
    </row>
    <row r="14" spans="1:26" x14ac:dyDescent="0.25">
      <c r="A14">
        <v>10</v>
      </c>
      <c r="B14" t="s">
        <v>58</v>
      </c>
      <c r="C14">
        <v>17.5</v>
      </c>
      <c r="D14">
        <v>3.4999999999999996</v>
      </c>
      <c r="E14">
        <v>10</v>
      </c>
      <c r="F14">
        <v>6</v>
      </c>
      <c r="G14">
        <v>1</v>
      </c>
      <c r="H14">
        <v>3</v>
      </c>
      <c r="I14" s="7">
        <f>IFERROR((F14/E14)*100,0)</f>
        <v>60</v>
      </c>
      <c r="J14" s="10">
        <f>IFERROR(C14/E14,0)</f>
        <v>1.75</v>
      </c>
      <c r="K14" s="10">
        <f>IFERROR(D14/E14,0)</f>
        <v>0.35</v>
      </c>
      <c r="L14" s="10" t="str">
        <f>LEFT(B14,3)</f>
        <v>WEG</v>
      </c>
      <c r="N14">
        <f t="shared" si="1"/>
        <v>17.5</v>
      </c>
      <c r="O14">
        <f t="shared" si="2"/>
        <v>3.4999999999999996</v>
      </c>
      <c r="P14">
        <f t="shared" si="3"/>
        <v>10</v>
      </c>
      <c r="Q14">
        <f t="shared" si="4"/>
        <v>6</v>
      </c>
      <c r="R14">
        <f t="shared" si="5"/>
        <v>1</v>
      </c>
      <c r="S14">
        <f t="shared" si="6"/>
        <v>3</v>
      </c>
    </row>
    <row r="15" spans="1:26" x14ac:dyDescent="0.25">
      <c r="A15">
        <v>14</v>
      </c>
      <c r="B15" t="s">
        <v>119</v>
      </c>
      <c r="C15">
        <v>-8.8999999999999986</v>
      </c>
      <c r="D15">
        <v>-1.7799999999999998</v>
      </c>
      <c r="E15">
        <v>8</v>
      </c>
      <c r="F15">
        <v>4</v>
      </c>
      <c r="G15">
        <v>0</v>
      </c>
      <c r="H15">
        <v>4</v>
      </c>
      <c r="I15" s="7">
        <f>IFERROR((F15/E15)*100,0)</f>
        <v>50</v>
      </c>
      <c r="J15" s="10">
        <f>IFERROR(C15/E15,0)</f>
        <v>-1.1124999999999998</v>
      </c>
      <c r="K15" s="10">
        <f>IFERROR(D15/E15,0)</f>
        <v>-0.22249999999999998</v>
      </c>
      <c r="L15" s="10" t="str">
        <f>LEFT(B15,3)</f>
        <v>LEG</v>
      </c>
      <c r="N15">
        <f t="shared" si="1"/>
        <v>-8.8999999999999986</v>
      </c>
      <c r="O15">
        <f t="shared" si="2"/>
        <v>-1.7799999999999998</v>
      </c>
      <c r="P15">
        <f t="shared" si="3"/>
        <v>8</v>
      </c>
      <c r="Q15">
        <f t="shared" si="4"/>
        <v>4</v>
      </c>
      <c r="R15">
        <f t="shared" si="5"/>
        <v>0</v>
      </c>
      <c r="S15">
        <f t="shared" si="6"/>
        <v>4</v>
      </c>
    </row>
    <row r="16" spans="1:26" x14ac:dyDescent="0.25">
      <c r="A16">
        <v>15</v>
      </c>
      <c r="B16" t="s">
        <v>68</v>
      </c>
      <c r="C16">
        <v>-9.6999999999999993</v>
      </c>
      <c r="D16">
        <v>-1.9400000000000002</v>
      </c>
      <c r="E16">
        <v>8</v>
      </c>
      <c r="F16">
        <v>3</v>
      </c>
      <c r="G16">
        <v>0</v>
      </c>
      <c r="H16">
        <v>5</v>
      </c>
      <c r="I16" s="7">
        <f>IFERROR((F16/E16)*100,0)</f>
        <v>37.5</v>
      </c>
      <c r="J16" s="10">
        <f>IFERROR(C16/E16,0)</f>
        <v>-1.2124999999999999</v>
      </c>
      <c r="K16" s="10">
        <f>IFERROR(D16/E16,0)</f>
        <v>-0.24250000000000002</v>
      </c>
      <c r="L16" s="10" t="str">
        <f>LEFT(B16,3)</f>
        <v>UEG</v>
      </c>
      <c r="N16">
        <f t="shared" si="1"/>
        <v>-9.6999999999999993</v>
      </c>
      <c r="O16">
        <f t="shared" si="2"/>
        <v>-1.9400000000000002</v>
      </c>
      <c r="P16">
        <f t="shared" si="3"/>
        <v>8</v>
      </c>
      <c r="Q16">
        <f t="shared" si="4"/>
        <v>3</v>
      </c>
      <c r="R16">
        <f t="shared" si="5"/>
        <v>0</v>
      </c>
      <c r="S16">
        <f t="shared" si="6"/>
        <v>5</v>
      </c>
    </row>
    <row r="17" spans="1:19" x14ac:dyDescent="0.25">
      <c r="A17">
        <v>17</v>
      </c>
      <c r="B17" t="s">
        <v>116</v>
      </c>
      <c r="C17">
        <v>-9.4</v>
      </c>
      <c r="D17">
        <v>-1.879999999999999</v>
      </c>
      <c r="E17">
        <v>8</v>
      </c>
      <c r="F17">
        <v>3</v>
      </c>
      <c r="G17">
        <v>0</v>
      </c>
      <c r="H17">
        <v>5</v>
      </c>
      <c r="I17" s="7">
        <f>IFERROR((F17/E17)*100,0)</f>
        <v>37.5</v>
      </c>
      <c r="J17" s="10">
        <f>IFERROR(C17/E17,0)</f>
        <v>-1.175</v>
      </c>
      <c r="K17" s="10">
        <f>IFERROR(D17/E17,0)</f>
        <v>-0.23499999999999988</v>
      </c>
      <c r="L17" s="10" t="str">
        <f>LEFT(B17,3)</f>
        <v>LEG</v>
      </c>
      <c r="N17">
        <f t="shared" si="1"/>
        <v>-9.4</v>
      </c>
      <c r="O17">
        <f t="shared" si="2"/>
        <v>-1.879999999999999</v>
      </c>
      <c r="P17">
        <f t="shared" si="3"/>
        <v>8</v>
      </c>
      <c r="Q17">
        <f t="shared" si="4"/>
        <v>3</v>
      </c>
      <c r="R17">
        <f t="shared" si="5"/>
        <v>0</v>
      </c>
      <c r="S17">
        <f t="shared" si="6"/>
        <v>5</v>
      </c>
    </row>
    <row r="18" spans="1:19" x14ac:dyDescent="0.25">
      <c r="A18">
        <v>16</v>
      </c>
      <c r="B18" t="s">
        <v>111</v>
      </c>
      <c r="C18">
        <v>-13</v>
      </c>
      <c r="D18">
        <v>-2.6000000000000005</v>
      </c>
      <c r="E18">
        <v>7</v>
      </c>
      <c r="F18">
        <v>3</v>
      </c>
      <c r="G18">
        <v>0</v>
      </c>
      <c r="H18">
        <v>4</v>
      </c>
      <c r="I18" s="7">
        <f>IFERROR((F18/E18)*100,0)</f>
        <v>42.857142857142854</v>
      </c>
      <c r="J18" s="10">
        <f>IFERROR(C18/E18,0)</f>
        <v>-1.8571428571428572</v>
      </c>
      <c r="K18" s="10">
        <f>IFERROR(D18/E18,0)</f>
        <v>-0.3714285714285715</v>
      </c>
      <c r="L18" s="10" t="str">
        <f>LEFT(B18,3)</f>
        <v>PEG</v>
      </c>
      <c r="N18">
        <f t="shared" si="1"/>
        <v>-13</v>
      </c>
      <c r="O18">
        <f t="shared" ref="O18:O65" si="7">D18+V18</f>
        <v>-2.6000000000000005</v>
      </c>
      <c r="P18">
        <f t="shared" ref="P18:P65" si="8">E18+W18</f>
        <v>7</v>
      </c>
      <c r="Q18">
        <f t="shared" ref="Q18:Q65" si="9">F18+X18</f>
        <v>3</v>
      </c>
      <c r="R18">
        <f t="shared" ref="R18:R47" si="10">G18+Y18</f>
        <v>0</v>
      </c>
      <c r="S18">
        <f t="shared" ref="S18:S47" si="11">H18+Z18</f>
        <v>4</v>
      </c>
    </row>
    <row r="19" spans="1:19" x14ac:dyDescent="0.25">
      <c r="A19">
        <v>19</v>
      </c>
      <c r="B19" t="s">
        <v>63</v>
      </c>
      <c r="C19">
        <v>1.1999999999999993</v>
      </c>
      <c r="D19">
        <v>0.23999999999999988</v>
      </c>
      <c r="E19">
        <v>7</v>
      </c>
      <c r="F19">
        <v>5</v>
      </c>
      <c r="G19">
        <v>0</v>
      </c>
      <c r="H19">
        <v>2</v>
      </c>
      <c r="I19" s="7">
        <f>IFERROR((F19/E19)*100,0)</f>
        <v>71.428571428571431</v>
      </c>
      <c r="J19" s="10">
        <f>IFERROR(C19/E19,0)</f>
        <v>0.17142857142857132</v>
      </c>
      <c r="K19" s="10">
        <f>IFERROR(D19/E19,0)</f>
        <v>3.4285714285714267E-2</v>
      </c>
      <c r="L19" s="10" t="str">
        <f>LEFT(B19,3)</f>
        <v>PEG</v>
      </c>
      <c r="N19">
        <f t="shared" si="1"/>
        <v>1.1999999999999993</v>
      </c>
      <c r="O19">
        <f t="shared" si="7"/>
        <v>0.23999999999999988</v>
      </c>
      <c r="P19">
        <f t="shared" si="8"/>
        <v>7</v>
      </c>
      <c r="Q19">
        <f t="shared" si="9"/>
        <v>5</v>
      </c>
      <c r="R19">
        <f t="shared" si="10"/>
        <v>0</v>
      </c>
      <c r="S19">
        <f t="shared" si="11"/>
        <v>2</v>
      </c>
    </row>
    <row r="20" spans="1:19" x14ac:dyDescent="0.25">
      <c r="A20">
        <v>18</v>
      </c>
      <c r="B20" t="s">
        <v>61</v>
      </c>
      <c r="C20">
        <v>3.3000000000000003</v>
      </c>
      <c r="D20">
        <v>0.66000000000000014</v>
      </c>
      <c r="E20">
        <v>6</v>
      </c>
      <c r="F20">
        <v>3</v>
      </c>
      <c r="G20">
        <v>0</v>
      </c>
      <c r="H20">
        <v>3</v>
      </c>
      <c r="I20" s="7">
        <f>IFERROR((F20/E20)*100,0)</f>
        <v>50</v>
      </c>
      <c r="J20" s="10">
        <f>IFERROR(C20/E20,0)</f>
        <v>0.55000000000000004</v>
      </c>
      <c r="K20" s="10">
        <f>IFERROR(D20/E20,0)</f>
        <v>0.11000000000000003</v>
      </c>
      <c r="L20" s="10" t="str">
        <f>LEFT(B20,3)</f>
        <v>PEG</v>
      </c>
      <c r="N20">
        <f t="shared" si="1"/>
        <v>3.3000000000000003</v>
      </c>
      <c r="O20">
        <f t="shared" si="7"/>
        <v>0.66000000000000014</v>
      </c>
      <c r="P20">
        <f t="shared" si="8"/>
        <v>6</v>
      </c>
      <c r="Q20">
        <f t="shared" si="9"/>
        <v>3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t="s">
        <v>74</v>
      </c>
      <c r="C21">
        <v>1.9000000000000004</v>
      </c>
      <c r="D21">
        <v>0.37999999999999989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0.38000000000000006</v>
      </c>
      <c r="K21" s="10">
        <f>IFERROR(D21/E21,0)</f>
        <v>7.5999999999999984E-2</v>
      </c>
      <c r="L21" s="10" t="str">
        <f>LEFT(B21,3)</f>
        <v>SEG</v>
      </c>
      <c r="N21">
        <f t="shared" si="1"/>
        <v>1.9000000000000004</v>
      </c>
      <c r="O21">
        <f t="shared" si="7"/>
        <v>0.37999999999999989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t="s">
        <v>70</v>
      </c>
      <c r="C22">
        <v>-2.9000000000000004</v>
      </c>
      <c r="D22">
        <v>-0.58000000000000007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-0.58000000000000007</v>
      </c>
      <c r="K22" s="10">
        <f>IFERROR(D22/E22,0)</f>
        <v>-0.11600000000000002</v>
      </c>
      <c r="L22" s="10" t="str">
        <f>LEFT(B22,3)</f>
        <v>UEG</v>
      </c>
      <c r="N22">
        <f t="shared" si="1"/>
        <v>-2.9000000000000004</v>
      </c>
      <c r="O22">
        <f t="shared" si="7"/>
        <v>-0.58000000000000007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115</v>
      </c>
      <c r="C23">
        <v>-3.8000000000000007</v>
      </c>
      <c r="D23">
        <v>-0.76000000000000023</v>
      </c>
      <c r="E23">
        <v>5</v>
      </c>
      <c r="F23">
        <v>2</v>
      </c>
      <c r="G23">
        <v>0</v>
      </c>
      <c r="H23">
        <v>3</v>
      </c>
      <c r="I23" s="7">
        <f>IFERROR((F23/E23)*100,0)</f>
        <v>40</v>
      </c>
      <c r="J23" s="10">
        <f>IFERROR(C23/E23,0)</f>
        <v>-0.76000000000000012</v>
      </c>
      <c r="K23" s="10">
        <f>IFERROR(D23/E23,0)</f>
        <v>-0.15200000000000005</v>
      </c>
      <c r="L23" s="10" t="str">
        <f>LEFT(B23,3)</f>
        <v>PEG</v>
      </c>
      <c r="N23">
        <f t="shared" si="1"/>
        <v>-3.8000000000000007</v>
      </c>
      <c r="O23">
        <f t="shared" si="7"/>
        <v>-0.76000000000000023</v>
      </c>
      <c r="P23">
        <f t="shared" si="8"/>
        <v>5</v>
      </c>
      <c r="Q23">
        <f t="shared" si="9"/>
        <v>2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108</v>
      </c>
      <c r="C24">
        <v>-6.2</v>
      </c>
      <c r="D24">
        <v>-1.24</v>
      </c>
      <c r="E24">
        <v>5</v>
      </c>
      <c r="F24">
        <v>3</v>
      </c>
      <c r="G24">
        <v>1</v>
      </c>
      <c r="H24">
        <v>1</v>
      </c>
      <c r="I24" s="7">
        <f>IFERROR((F24/E24)*100,0)</f>
        <v>60</v>
      </c>
      <c r="J24" s="10">
        <f>IFERROR(C24/E24,0)</f>
        <v>-1.24</v>
      </c>
      <c r="K24" s="10">
        <f>IFERROR(D24/E24,0)</f>
        <v>-0.248</v>
      </c>
      <c r="L24" s="10" t="str">
        <f>LEFT(B24,3)</f>
        <v>PEG</v>
      </c>
      <c r="N24">
        <f t="shared" si="1"/>
        <v>-6.2</v>
      </c>
      <c r="O24">
        <f t="shared" si="7"/>
        <v>-1.24</v>
      </c>
      <c r="P24">
        <f t="shared" si="8"/>
        <v>5</v>
      </c>
      <c r="Q24">
        <f t="shared" si="9"/>
        <v>3</v>
      </c>
      <c r="R24">
        <f t="shared" si="10"/>
        <v>1</v>
      </c>
      <c r="S24">
        <f t="shared" si="11"/>
        <v>1</v>
      </c>
    </row>
    <row r="25" spans="1:19" x14ac:dyDescent="0.25">
      <c r="A25">
        <v>24</v>
      </c>
      <c r="B25" t="s">
        <v>118</v>
      </c>
      <c r="C25">
        <v>-7.5</v>
      </c>
      <c r="D25">
        <v>-1.5</v>
      </c>
      <c r="E25">
        <v>5</v>
      </c>
      <c r="F25">
        <v>1</v>
      </c>
      <c r="G25">
        <v>0</v>
      </c>
      <c r="H25">
        <v>4</v>
      </c>
      <c r="I25" s="7">
        <f>IFERROR((F25/E25)*100,0)</f>
        <v>20</v>
      </c>
      <c r="J25" s="10">
        <f>IFERROR(C25/E25,0)</f>
        <v>-1.5</v>
      </c>
      <c r="K25" s="10">
        <f>IFERROR(D25/E25,0)</f>
        <v>-0.3</v>
      </c>
      <c r="L25" s="10" t="str">
        <f>LEFT(B25,3)</f>
        <v>LEG</v>
      </c>
      <c r="N25">
        <f t="shared" si="1"/>
        <v>-7.5</v>
      </c>
      <c r="O25">
        <f t="shared" si="7"/>
        <v>-1.5</v>
      </c>
      <c r="P25">
        <f t="shared" si="8"/>
        <v>5</v>
      </c>
      <c r="Q25">
        <f t="shared" si="9"/>
        <v>1</v>
      </c>
      <c r="R25">
        <f t="shared" si="10"/>
        <v>0</v>
      </c>
      <c r="S25">
        <f t="shared" si="11"/>
        <v>4</v>
      </c>
    </row>
    <row r="26" spans="1:19" x14ac:dyDescent="0.25">
      <c r="A26">
        <v>25</v>
      </c>
      <c r="B26" t="s">
        <v>112</v>
      </c>
      <c r="C26">
        <v>-9.1</v>
      </c>
      <c r="D26">
        <v>-1.82</v>
      </c>
      <c r="E26">
        <v>5</v>
      </c>
      <c r="F26">
        <v>1</v>
      </c>
      <c r="G26">
        <v>0</v>
      </c>
      <c r="H26">
        <v>4</v>
      </c>
      <c r="I26" s="7">
        <f>IFERROR((F26/E26)*100,0)</f>
        <v>20</v>
      </c>
      <c r="J26" s="10">
        <f>IFERROR(C26/E26,0)</f>
        <v>-1.8199999999999998</v>
      </c>
      <c r="K26" s="10">
        <f>IFERROR(D26/E26,0)</f>
        <v>-0.36399999999999999</v>
      </c>
      <c r="L26" s="10" t="str">
        <f>LEFT(B26,3)</f>
        <v>PEG</v>
      </c>
      <c r="N26">
        <f t="shared" si="1"/>
        <v>-9.1</v>
      </c>
      <c r="O26">
        <f t="shared" si="7"/>
        <v>-1.82</v>
      </c>
      <c r="P26">
        <f t="shared" si="8"/>
        <v>5</v>
      </c>
      <c r="Q26">
        <f t="shared" si="9"/>
        <v>1</v>
      </c>
      <c r="R26">
        <f t="shared" si="10"/>
        <v>0</v>
      </c>
      <c r="S26">
        <f t="shared" si="11"/>
        <v>4</v>
      </c>
    </row>
    <row r="27" spans="1:19" x14ac:dyDescent="0.25">
      <c r="A27">
        <v>26</v>
      </c>
      <c r="B27" t="s">
        <v>76</v>
      </c>
      <c r="C27">
        <v>-7.5</v>
      </c>
      <c r="D27">
        <v>-1.5</v>
      </c>
      <c r="E27">
        <v>5</v>
      </c>
      <c r="F27">
        <v>2</v>
      </c>
      <c r="G27">
        <v>0</v>
      </c>
      <c r="H27">
        <v>3</v>
      </c>
      <c r="I27" s="7">
        <f>IFERROR((F27/E27)*100,0)</f>
        <v>40</v>
      </c>
      <c r="J27" s="10">
        <f>IFERROR(C27/E27,0)</f>
        <v>-1.5</v>
      </c>
      <c r="K27" s="10">
        <f>IFERROR(D27/E27,0)</f>
        <v>-0.3</v>
      </c>
      <c r="L27" s="10" t="str">
        <f>LEFT(B27,3)</f>
        <v>PEG</v>
      </c>
      <c r="N27">
        <f t="shared" si="1"/>
        <v>-7.5</v>
      </c>
      <c r="O27">
        <f t="shared" si="7"/>
        <v>-1.5</v>
      </c>
      <c r="P27">
        <f t="shared" si="8"/>
        <v>5</v>
      </c>
      <c r="Q27">
        <f t="shared" si="9"/>
        <v>2</v>
      </c>
      <c r="R27">
        <f t="shared" si="10"/>
        <v>0</v>
      </c>
      <c r="S27">
        <f t="shared" si="11"/>
        <v>3</v>
      </c>
    </row>
    <row r="28" spans="1:19" x14ac:dyDescent="0.25">
      <c r="A28">
        <v>29</v>
      </c>
      <c r="B28" t="s">
        <v>82</v>
      </c>
      <c r="C28">
        <v>-5.6000000000000014</v>
      </c>
      <c r="D28">
        <v>-1.1200000000000003</v>
      </c>
      <c r="E28">
        <v>4</v>
      </c>
      <c r="F28">
        <v>3</v>
      </c>
      <c r="G28">
        <v>0</v>
      </c>
      <c r="H28">
        <v>1</v>
      </c>
      <c r="I28" s="7">
        <f>IFERROR((F28/E28)*100,0)</f>
        <v>75</v>
      </c>
      <c r="J28" s="10">
        <f>IFERROR(C28/E28,0)</f>
        <v>-1.4000000000000004</v>
      </c>
      <c r="K28" s="10">
        <f>IFERROR(D28/E28,0)</f>
        <v>-0.28000000000000008</v>
      </c>
      <c r="L28" s="10" t="str">
        <f>LEFT(B28,3)</f>
        <v>LEG</v>
      </c>
      <c r="N28">
        <f t="shared" si="1"/>
        <v>-5.6000000000000014</v>
      </c>
      <c r="O28">
        <f t="shared" si="7"/>
        <v>-1.1200000000000003</v>
      </c>
      <c r="P28">
        <f t="shared" si="8"/>
        <v>4</v>
      </c>
      <c r="Q28">
        <f t="shared" si="9"/>
        <v>3</v>
      </c>
      <c r="R28">
        <f t="shared" si="10"/>
        <v>0</v>
      </c>
      <c r="S28">
        <f t="shared" si="11"/>
        <v>1</v>
      </c>
    </row>
    <row r="29" spans="1:19" x14ac:dyDescent="0.25">
      <c r="A29">
        <v>27</v>
      </c>
      <c r="B29" t="s">
        <v>69</v>
      </c>
      <c r="C29">
        <v>6</v>
      </c>
      <c r="D29">
        <v>1.2</v>
      </c>
      <c r="E29">
        <v>3</v>
      </c>
      <c r="F29">
        <v>3</v>
      </c>
      <c r="G29">
        <v>0</v>
      </c>
      <c r="H29">
        <v>0</v>
      </c>
      <c r="I29" s="7">
        <f>IFERROR((F29/E29)*100,0)</f>
        <v>100</v>
      </c>
      <c r="J29" s="10">
        <f>IFERROR(C29/E29,0)</f>
        <v>2</v>
      </c>
      <c r="K29" s="10">
        <f>IFERROR(D29/E29,0)</f>
        <v>0.39999999999999997</v>
      </c>
      <c r="L29" s="10" t="str">
        <f>LEFT(B29,3)</f>
        <v>LEG</v>
      </c>
      <c r="N29">
        <f t="shared" si="1"/>
        <v>6</v>
      </c>
      <c r="O29">
        <f t="shared" si="7"/>
        <v>1.2</v>
      </c>
      <c r="P29">
        <f t="shared" si="8"/>
        <v>3</v>
      </c>
      <c r="Q29">
        <f t="shared" si="9"/>
        <v>3</v>
      </c>
      <c r="R29">
        <f t="shared" si="10"/>
        <v>0</v>
      </c>
      <c r="S29">
        <f t="shared" si="11"/>
        <v>0</v>
      </c>
    </row>
    <row r="30" spans="1:19" x14ac:dyDescent="0.25">
      <c r="A30">
        <v>28</v>
      </c>
      <c r="B30" t="s">
        <v>71</v>
      </c>
      <c r="C30">
        <v>-12</v>
      </c>
      <c r="D30">
        <v>-2.4</v>
      </c>
      <c r="E30">
        <v>3</v>
      </c>
      <c r="F30">
        <v>1</v>
      </c>
      <c r="G30">
        <v>0</v>
      </c>
      <c r="H30">
        <v>2</v>
      </c>
      <c r="I30" s="7">
        <f>IFERROR((F30/E30)*100,0)</f>
        <v>33.333333333333329</v>
      </c>
      <c r="J30" s="10">
        <f>IFERROR(C30/E30,0)</f>
        <v>-4</v>
      </c>
      <c r="K30" s="10">
        <f>IFERROR(D30/E30,0)</f>
        <v>-0.79999999999999993</v>
      </c>
      <c r="L30" s="10" t="str">
        <f>LEFT(B30,3)</f>
        <v>LEG</v>
      </c>
      <c r="N30">
        <f t="shared" si="1"/>
        <v>-12</v>
      </c>
      <c r="O30">
        <f t="shared" si="7"/>
        <v>-2.4</v>
      </c>
      <c r="P30">
        <f t="shared" si="8"/>
        <v>3</v>
      </c>
      <c r="Q30">
        <f t="shared" si="9"/>
        <v>1</v>
      </c>
      <c r="R30">
        <f t="shared" si="10"/>
        <v>0</v>
      </c>
      <c r="S30">
        <f t="shared" si="11"/>
        <v>2</v>
      </c>
    </row>
    <row r="31" spans="1:19" x14ac:dyDescent="0.25">
      <c r="A31">
        <v>35</v>
      </c>
      <c r="B31" t="s">
        <v>109</v>
      </c>
      <c r="C31">
        <v>16.2</v>
      </c>
      <c r="D31">
        <v>3.2399999999999998</v>
      </c>
      <c r="E31">
        <v>3</v>
      </c>
      <c r="F31">
        <v>3</v>
      </c>
      <c r="G31">
        <v>0</v>
      </c>
      <c r="H31">
        <v>0</v>
      </c>
      <c r="I31" s="7">
        <f>IFERROR((F31/E31)*100,0)</f>
        <v>100</v>
      </c>
      <c r="J31" s="10">
        <f>IFERROR(C31/E31,0)</f>
        <v>5.3999999999999995</v>
      </c>
      <c r="K31" s="10">
        <f>IFERROR(D31/E31,0)</f>
        <v>1.0799999999999998</v>
      </c>
      <c r="L31" s="10" t="str">
        <f>LEFT(B31,3)</f>
        <v>SEG</v>
      </c>
      <c r="N31">
        <f t="shared" si="1"/>
        <v>16.2</v>
      </c>
      <c r="O31">
        <f t="shared" si="7"/>
        <v>3.2399999999999998</v>
      </c>
      <c r="P31">
        <f t="shared" si="8"/>
        <v>3</v>
      </c>
      <c r="Q31">
        <f t="shared" si="9"/>
        <v>3</v>
      </c>
      <c r="R31">
        <f t="shared" si="10"/>
        <v>0</v>
      </c>
      <c r="S31">
        <f t="shared" si="11"/>
        <v>0</v>
      </c>
    </row>
    <row r="32" spans="1:19" x14ac:dyDescent="0.25">
      <c r="A32">
        <v>36</v>
      </c>
      <c r="B32" t="s">
        <v>97</v>
      </c>
      <c r="C32">
        <v>-0.19999999999999996</v>
      </c>
      <c r="D32">
        <v>-3.999999999999998E-2</v>
      </c>
      <c r="E32">
        <v>3</v>
      </c>
      <c r="F32">
        <v>1</v>
      </c>
      <c r="G32">
        <v>0</v>
      </c>
      <c r="H32">
        <v>2</v>
      </c>
      <c r="I32" s="7">
        <f>IFERROR((F32/E32)*100,0)</f>
        <v>33.333333333333329</v>
      </c>
      <c r="J32" s="10">
        <f>IFERROR(C32/E32,0)</f>
        <v>-6.6666666666666652E-2</v>
      </c>
      <c r="K32" s="10">
        <f>IFERROR(D32/E32,0)</f>
        <v>-1.3333333333333327E-2</v>
      </c>
      <c r="L32" s="10" t="str">
        <f>LEFT(B32,3)</f>
        <v>UEG</v>
      </c>
      <c r="N32">
        <f t="shared" si="1"/>
        <v>-0.19999999999999996</v>
      </c>
      <c r="O32">
        <f t="shared" si="7"/>
        <v>-3.999999999999998E-2</v>
      </c>
      <c r="P32">
        <f t="shared" si="8"/>
        <v>3</v>
      </c>
      <c r="Q32">
        <f t="shared" si="9"/>
        <v>1</v>
      </c>
      <c r="R32">
        <f t="shared" si="10"/>
        <v>0</v>
      </c>
      <c r="S32">
        <f t="shared" si="11"/>
        <v>2</v>
      </c>
    </row>
    <row r="33" spans="1:19" x14ac:dyDescent="0.25">
      <c r="A33">
        <v>37</v>
      </c>
      <c r="B33" t="s">
        <v>117</v>
      </c>
      <c r="C33">
        <v>5.8</v>
      </c>
      <c r="D33">
        <v>1.1599999999999999</v>
      </c>
      <c r="E33">
        <v>3</v>
      </c>
      <c r="F33">
        <v>2</v>
      </c>
      <c r="G33">
        <v>0</v>
      </c>
      <c r="H33">
        <v>1</v>
      </c>
      <c r="I33" s="7">
        <f>IFERROR((F33/E33)*100,0)</f>
        <v>66.666666666666657</v>
      </c>
      <c r="J33" s="10">
        <f>IFERROR(C33/E33,0)</f>
        <v>1.9333333333333333</v>
      </c>
      <c r="K33" s="10">
        <f>IFERROR(D33/E33,0)</f>
        <v>0.38666666666666666</v>
      </c>
      <c r="L33" s="10" t="str">
        <f>LEFT(B33,3)</f>
        <v>LEG</v>
      </c>
      <c r="N33">
        <f t="shared" si="1"/>
        <v>5.8</v>
      </c>
      <c r="O33">
        <f t="shared" si="7"/>
        <v>1.1599999999999999</v>
      </c>
      <c r="P33">
        <f t="shared" si="8"/>
        <v>3</v>
      </c>
      <c r="Q33">
        <f t="shared" si="9"/>
        <v>2</v>
      </c>
      <c r="R33">
        <f t="shared" si="10"/>
        <v>0</v>
      </c>
      <c r="S33">
        <f t="shared" si="11"/>
        <v>1</v>
      </c>
    </row>
    <row r="34" spans="1:19" x14ac:dyDescent="0.25">
      <c r="A34">
        <v>38</v>
      </c>
      <c r="B34" t="s">
        <v>93</v>
      </c>
      <c r="C34">
        <v>17.2</v>
      </c>
      <c r="D34">
        <v>3.44</v>
      </c>
      <c r="E34">
        <v>3</v>
      </c>
      <c r="F34">
        <v>2</v>
      </c>
      <c r="G34">
        <v>0</v>
      </c>
      <c r="H34">
        <v>1</v>
      </c>
      <c r="I34" s="7">
        <f>IFERROR((F34/E34)*100,0)</f>
        <v>66.666666666666657</v>
      </c>
      <c r="J34" s="10">
        <f>IFERROR(C34/E34,0)</f>
        <v>5.7333333333333334</v>
      </c>
      <c r="K34" s="10">
        <f>IFERROR(D34/E34,0)</f>
        <v>1.1466666666666667</v>
      </c>
      <c r="L34" s="10" t="str">
        <f>LEFT(B34,3)</f>
        <v>UEG</v>
      </c>
      <c r="N34">
        <f t="shared" si="1"/>
        <v>17.2</v>
      </c>
      <c r="O34">
        <f t="shared" si="7"/>
        <v>3.44</v>
      </c>
      <c r="P34">
        <f t="shared" si="8"/>
        <v>3</v>
      </c>
      <c r="Q34">
        <f t="shared" si="9"/>
        <v>2</v>
      </c>
      <c r="R34">
        <f t="shared" si="10"/>
        <v>0</v>
      </c>
      <c r="S34">
        <f t="shared" si="11"/>
        <v>1</v>
      </c>
    </row>
    <row r="35" spans="1:19" x14ac:dyDescent="0.25">
      <c r="A35">
        <v>39</v>
      </c>
      <c r="B35" t="s">
        <v>88</v>
      </c>
      <c r="C35">
        <v>-34.6</v>
      </c>
      <c r="D35">
        <v>-6.9200000000000008</v>
      </c>
      <c r="E35">
        <v>3</v>
      </c>
      <c r="F35">
        <v>0</v>
      </c>
      <c r="G35">
        <v>0</v>
      </c>
      <c r="H35">
        <v>3</v>
      </c>
      <c r="I35" s="7">
        <f>IFERROR((F35/E35)*100,0)</f>
        <v>0</v>
      </c>
      <c r="J35" s="10">
        <f>IFERROR(C35/E35,0)</f>
        <v>-11.533333333333333</v>
      </c>
      <c r="K35" s="10">
        <f>IFERROR(D35/E35,0)</f>
        <v>-2.3066666666666671</v>
      </c>
      <c r="L35" s="10" t="str">
        <f>LEFT(B35,3)</f>
        <v>LEG</v>
      </c>
      <c r="N35">
        <f t="shared" si="1"/>
        <v>-34.6</v>
      </c>
      <c r="O35">
        <f t="shared" si="7"/>
        <v>-6.9200000000000008</v>
      </c>
      <c r="P35">
        <f t="shared" si="8"/>
        <v>3</v>
      </c>
      <c r="Q35">
        <f t="shared" si="9"/>
        <v>0</v>
      </c>
      <c r="R35">
        <f t="shared" si="10"/>
        <v>0</v>
      </c>
      <c r="S35">
        <f t="shared" si="11"/>
        <v>3</v>
      </c>
    </row>
    <row r="36" spans="1:19" x14ac:dyDescent="0.25">
      <c r="A36">
        <v>30</v>
      </c>
      <c r="B36" t="s">
        <v>98</v>
      </c>
      <c r="C36">
        <v>1.0000000000000002</v>
      </c>
      <c r="D36">
        <v>0.2</v>
      </c>
      <c r="E36">
        <v>2</v>
      </c>
      <c r="F36">
        <v>1</v>
      </c>
      <c r="G36">
        <v>0</v>
      </c>
      <c r="H36">
        <v>1</v>
      </c>
      <c r="I36" s="7">
        <f>IFERROR((F36/E36)*100,0)</f>
        <v>50</v>
      </c>
      <c r="J36" s="10">
        <f>IFERROR(C36/E36,0)</f>
        <v>0.50000000000000011</v>
      </c>
      <c r="K36" s="10">
        <f>IFERROR(D36/E36,0)</f>
        <v>0.1</v>
      </c>
      <c r="L36" s="10" t="str">
        <f>LEFT(B36,3)</f>
        <v>UEG</v>
      </c>
      <c r="N36">
        <f t="shared" si="1"/>
        <v>1.0000000000000002</v>
      </c>
      <c r="O36">
        <f t="shared" si="7"/>
        <v>0.2</v>
      </c>
      <c r="P36">
        <f t="shared" si="8"/>
        <v>2</v>
      </c>
      <c r="Q36">
        <f t="shared" si="9"/>
        <v>1</v>
      </c>
      <c r="R36">
        <f t="shared" si="10"/>
        <v>0</v>
      </c>
      <c r="S36">
        <f t="shared" si="11"/>
        <v>1</v>
      </c>
    </row>
    <row r="37" spans="1:19" x14ac:dyDescent="0.25">
      <c r="A37">
        <v>31</v>
      </c>
      <c r="B37" t="s">
        <v>75</v>
      </c>
      <c r="C37">
        <v>1</v>
      </c>
      <c r="D37">
        <v>0.2</v>
      </c>
      <c r="E37">
        <v>2</v>
      </c>
      <c r="F37">
        <v>1</v>
      </c>
      <c r="G37">
        <v>0</v>
      </c>
      <c r="H37">
        <v>1</v>
      </c>
      <c r="I37" s="7">
        <f>IFERROR((F37/E37)*100,0)</f>
        <v>50</v>
      </c>
      <c r="J37" s="10">
        <f>IFERROR(C37/E37,0)</f>
        <v>0.5</v>
      </c>
      <c r="K37" s="10">
        <f>IFERROR(D37/E37,0)</f>
        <v>0.1</v>
      </c>
      <c r="L37" s="10" t="str">
        <f>LEFT(B37,3)</f>
        <v>PEG</v>
      </c>
      <c r="N37">
        <f t="shared" si="1"/>
        <v>1</v>
      </c>
      <c r="O37">
        <f t="shared" si="7"/>
        <v>0.2</v>
      </c>
      <c r="P37">
        <f t="shared" si="8"/>
        <v>2</v>
      </c>
      <c r="Q37">
        <f t="shared" si="9"/>
        <v>1</v>
      </c>
      <c r="R37">
        <f t="shared" si="10"/>
        <v>0</v>
      </c>
      <c r="S37">
        <f t="shared" si="11"/>
        <v>1</v>
      </c>
    </row>
    <row r="38" spans="1:19" x14ac:dyDescent="0.25">
      <c r="A38">
        <v>32</v>
      </c>
      <c r="B38" t="s">
        <v>81</v>
      </c>
      <c r="C38">
        <v>-1.8</v>
      </c>
      <c r="D38">
        <v>-0.36</v>
      </c>
      <c r="E38">
        <v>2</v>
      </c>
      <c r="F38">
        <v>0</v>
      </c>
      <c r="G38">
        <v>0</v>
      </c>
      <c r="H38">
        <v>2</v>
      </c>
      <c r="I38" s="7">
        <f>IFERROR((F38/E38)*100,0)</f>
        <v>0</v>
      </c>
      <c r="J38" s="10">
        <f>IFERROR(C38/E38,0)</f>
        <v>-0.9</v>
      </c>
      <c r="K38" s="10">
        <f>IFERROR(D38/E38,0)</f>
        <v>-0.18</v>
      </c>
      <c r="L38" s="10" t="str">
        <f>LEFT(B38,3)</f>
        <v>LEG</v>
      </c>
      <c r="N38">
        <f t="shared" si="1"/>
        <v>-1.8</v>
      </c>
      <c r="O38">
        <f t="shared" si="7"/>
        <v>-0.36</v>
      </c>
      <c r="P38">
        <f t="shared" si="8"/>
        <v>2</v>
      </c>
      <c r="Q38">
        <f t="shared" si="9"/>
        <v>0</v>
      </c>
      <c r="R38">
        <f t="shared" si="10"/>
        <v>0</v>
      </c>
      <c r="S38">
        <f t="shared" si="11"/>
        <v>2</v>
      </c>
    </row>
    <row r="39" spans="1:19" x14ac:dyDescent="0.25">
      <c r="A39">
        <v>33</v>
      </c>
      <c r="B39" t="s">
        <v>105</v>
      </c>
      <c r="C39">
        <v>-1.9000000000000001</v>
      </c>
      <c r="D39">
        <v>-0.38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-0.95000000000000007</v>
      </c>
      <c r="K39" s="10">
        <f>IFERROR(D39/E39,0)</f>
        <v>-0.19</v>
      </c>
      <c r="L39" s="10" t="str">
        <f>LEFT(B39,3)</f>
        <v>PEG</v>
      </c>
      <c r="N39">
        <f t="shared" si="1"/>
        <v>-1.9000000000000001</v>
      </c>
      <c r="O39">
        <f t="shared" si="7"/>
        <v>-0.38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t="s">
        <v>54</v>
      </c>
      <c r="C40">
        <v>-12</v>
      </c>
      <c r="D40">
        <v>-2.4</v>
      </c>
      <c r="E40">
        <v>2</v>
      </c>
      <c r="F40">
        <v>0</v>
      </c>
      <c r="G40">
        <v>0</v>
      </c>
      <c r="H40">
        <v>2</v>
      </c>
      <c r="I40" s="7">
        <f>IFERROR((F40/E40)*100,0)</f>
        <v>0</v>
      </c>
      <c r="J40" s="10">
        <f>IFERROR(C40/E40,0)</f>
        <v>-6</v>
      </c>
      <c r="K40" s="10">
        <f>IFERROR(D40/E40,0)</f>
        <v>-1.2</v>
      </c>
      <c r="L40" s="10" t="str">
        <f>LEFT(B40,3)</f>
        <v>UEG</v>
      </c>
      <c r="N40">
        <f t="shared" si="1"/>
        <v>-12</v>
      </c>
      <c r="O40">
        <f t="shared" si="7"/>
        <v>-2.4</v>
      </c>
      <c r="P40">
        <f t="shared" si="8"/>
        <v>2</v>
      </c>
      <c r="Q40">
        <f t="shared" si="9"/>
        <v>0</v>
      </c>
      <c r="R40">
        <f t="shared" si="10"/>
        <v>0</v>
      </c>
      <c r="S40">
        <f t="shared" si="11"/>
        <v>2</v>
      </c>
    </row>
    <row r="41" spans="1:19" x14ac:dyDescent="0.25">
      <c r="A41">
        <v>40</v>
      </c>
      <c r="B41" t="s">
        <v>114</v>
      </c>
      <c r="C41">
        <v>-1.3</v>
      </c>
      <c r="D41">
        <v>-0.26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-1.3</v>
      </c>
      <c r="K41" s="10">
        <f>IFERROR(D41/E41,0)</f>
        <v>-0.26</v>
      </c>
      <c r="L41" s="10" t="str">
        <f>LEFT(B41,3)</f>
        <v>PEG</v>
      </c>
      <c r="N41">
        <f t="shared" si="1"/>
        <v>-1.3</v>
      </c>
      <c r="O41">
        <f t="shared" si="7"/>
        <v>-0.26</v>
      </c>
      <c r="P41">
        <f t="shared" si="8"/>
        <v>1</v>
      </c>
      <c r="Q41">
        <f t="shared" si="9"/>
        <v>0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t="s">
        <v>72</v>
      </c>
      <c r="C42">
        <v>-6</v>
      </c>
      <c r="D42">
        <v>-1.2</v>
      </c>
      <c r="E42">
        <v>1</v>
      </c>
      <c r="F42">
        <v>0</v>
      </c>
      <c r="G42">
        <v>0</v>
      </c>
      <c r="H42">
        <v>1</v>
      </c>
      <c r="I42" s="7">
        <f>IFERROR((F42/E42)*100,0)</f>
        <v>0</v>
      </c>
      <c r="J42" s="10">
        <f>IFERROR(C42/E42,0)</f>
        <v>-6</v>
      </c>
      <c r="K42" s="10">
        <f>IFERROR(D42/E42,0)</f>
        <v>-1.2</v>
      </c>
      <c r="L42" s="10" t="str">
        <f>LEFT(B42,3)</f>
        <v>LEG</v>
      </c>
      <c r="N42">
        <f t="shared" si="1"/>
        <v>-6</v>
      </c>
      <c r="O42">
        <f t="shared" si="7"/>
        <v>-1.2</v>
      </c>
      <c r="P42">
        <f t="shared" si="8"/>
        <v>1</v>
      </c>
      <c r="Q42">
        <f t="shared" si="9"/>
        <v>0</v>
      </c>
      <c r="R42">
        <f t="shared" si="10"/>
        <v>0</v>
      </c>
      <c r="S42">
        <f t="shared" si="11"/>
        <v>1</v>
      </c>
    </row>
    <row r="43" spans="1:19" x14ac:dyDescent="0.25">
      <c r="A43">
        <v>42</v>
      </c>
      <c r="B43" t="s">
        <v>86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>IFERROR((F43/E43)*100,0)</f>
        <v>0</v>
      </c>
      <c r="J43" s="10">
        <f>IFERROR(C43/E43,0)</f>
        <v>0</v>
      </c>
      <c r="K43" s="10">
        <f>IFERROR(D43/E43,0)</f>
        <v>0</v>
      </c>
      <c r="L43" s="10" t="str">
        <f>LEFT(B43,3)</f>
        <v>LEG</v>
      </c>
      <c r="N43">
        <f t="shared" si="1"/>
        <v>0</v>
      </c>
      <c r="O43">
        <f t="shared" si="7"/>
        <v>0</v>
      </c>
      <c r="P43">
        <f t="shared" si="8"/>
        <v>0</v>
      </c>
      <c r="Q43">
        <f t="shared" si="9"/>
        <v>0</v>
      </c>
      <c r="R43">
        <f t="shared" si="10"/>
        <v>0</v>
      </c>
      <c r="S43">
        <f t="shared" si="11"/>
        <v>0</v>
      </c>
    </row>
    <row r="44" spans="1:19" x14ac:dyDescent="0.25">
      <c r="A44">
        <v>43</v>
      </c>
      <c r="B44" s="5" t="s">
        <v>85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 s="7">
        <f>IFERROR((F44/E44)*100,0)</f>
        <v>0</v>
      </c>
      <c r="J44" s="10">
        <f>IFERROR(C44/E44,0)</f>
        <v>0</v>
      </c>
      <c r="K44" s="10">
        <f>IFERROR(D44/E44,0)</f>
        <v>0</v>
      </c>
      <c r="L44" s="10" t="str">
        <f>LEFT(B44,3)</f>
        <v>LEG</v>
      </c>
      <c r="N44">
        <f t="shared" si="1"/>
        <v>0</v>
      </c>
      <c r="O44">
        <f t="shared" si="7"/>
        <v>0</v>
      </c>
      <c r="P44">
        <f t="shared" si="8"/>
        <v>0</v>
      </c>
      <c r="Q44">
        <f t="shared" si="9"/>
        <v>0</v>
      </c>
      <c r="R44">
        <f t="shared" si="10"/>
        <v>0</v>
      </c>
      <c r="S44">
        <f t="shared" si="11"/>
        <v>0</v>
      </c>
    </row>
    <row r="45" spans="1:19" x14ac:dyDescent="0.25">
      <c r="A45">
        <v>44</v>
      </c>
      <c r="B45" t="s">
        <v>87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>IFERROR((F45/E45)*100,0)</f>
        <v>0</v>
      </c>
      <c r="J45" s="10">
        <f>IFERROR(C45/E45,0)</f>
        <v>0</v>
      </c>
      <c r="K45" s="10">
        <f>IFERROR(D45/E45,0)</f>
        <v>0</v>
      </c>
      <c r="L45" s="10" t="str">
        <f>LEFT(B45,3)</f>
        <v>LEG</v>
      </c>
      <c r="N45">
        <f t="shared" si="1"/>
        <v>0</v>
      </c>
      <c r="O45">
        <f t="shared" si="7"/>
        <v>0</v>
      </c>
      <c r="P45">
        <f t="shared" si="8"/>
        <v>0</v>
      </c>
      <c r="Q45">
        <f t="shared" si="9"/>
        <v>0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t="s">
        <v>89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>IFERROR((F46/E46)*100,0)</f>
        <v>0</v>
      </c>
      <c r="J46" s="10">
        <f>IFERROR(C46/E46,0)</f>
        <v>0</v>
      </c>
      <c r="K46" s="10">
        <f>IFERROR(D46/E46,0)</f>
        <v>0</v>
      </c>
      <c r="L46" s="10" t="str">
        <f>LEFT(B46,3)</f>
        <v>LEG</v>
      </c>
      <c r="N46">
        <f t="shared" si="1"/>
        <v>0</v>
      </c>
      <c r="O46">
        <f t="shared" si="7"/>
        <v>0</v>
      </c>
      <c r="P46">
        <f t="shared" si="8"/>
        <v>0</v>
      </c>
      <c r="Q46">
        <f t="shared" si="9"/>
        <v>0</v>
      </c>
      <c r="R46">
        <f t="shared" si="10"/>
        <v>0</v>
      </c>
      <c r="S46">
        <f t="shared" si="11"/>
        <v>0</v>
      </c>
    </row>
    <row r="47" spans="1:19" x14ac:dyDescent="0.25">
      <c r="A47">
        <v>46</v>
      </c>
      <c r="B47" s="5" t="s">
        <v>104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>IFERROR((F47/E47)*100,0)</f>
        <v>0</v>
      </c>
      <c r="J47" s="10">
        <f>IFERROR(C47/E47,0)</f>
        <v>0</v>
      </c>
      <c r="K47" s="10">
        <f>IFERROR(D47/E47,0)</f>
        <v>0</v>
      </c>
      <c r="L47" s="10" t="str">
        <f>LEFT(B47,3)</f>
        <v>PEG</v>
      </c>
      <c r="N47">
        <f t="shared" si="1"/>
        <v>0</v>
      </c>
      <c r="O47">
        <f t="shared" si="7"/>
        <v>0</v>
      </c>
      <c r="P47">
        <f t="shared" si="8"/>
        <v>0</v>
      </c>
      <c r="Q47">
        <f t="shared" si="9"/>
        <v>0</v>
      </c>
      <c r="R47">
        <f t="shared" si="10"/>
        <v>0</v>
      </c>
      <c r="S47">
        <f t="shared" si="11"/>
        <v>0</v>
      </c>
    </row>
    <row r="48" spans="1:19" x14ac:dyDescent="0.25">
      <c r="A48">
        <v>47</v>
      </c>
      <c r="B48" s="5" t="s">
        <v>106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 s="7">
        <f>IFERROR((F48/E48)*100,0)</f>
        <v>0</v>
      </c>
      <c r="J48" s="10">
        <f>IFERROR(C48/E48,0)</f>
        <v>0</v>
      </c>
      <c r="K48" s="10">
        <f>IFERROR(D48/E48,0)</f>
        <v>0</v>
      </c>
      <c r="L48" s="10" t="str">
        <f>LEFT(B48,3)</f>
        <v>PEG</v>
      </c>
      <c r="N48">
        <f t="shared" si="1"/>
        <v>0</v>
      </c>
      <c r="O48">
        <f t="shared" si="7"/>
        <v>0</v>
      </c>
      <c r="P48">
        <f t="shared" si="8"/>
        <v>0</v>
      </c>
      <c r="Q48">
        <f t="shared" si="9"/>
        <v>0</v>
      </c>
      <c r="R48">
        <f t="shared" ref="R48:R65" si="12">G48+Y48</f>
        <v>0</v>
      </c>
      <c r="S48">
        <f t="shared" ref="S48:S65" si="13">H48+Z48</f>
        <v>0</v>
      </c>
    </row>
    <row r="49" spans="1:19" x14ac:dyDescent="0.25">
      <c r="A49">
        <v>48</v>
      </c>
      <c r="B49" s="5" t="s">
        <v>107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 s="7">
        <f>IFERROR((F49/E49)*100,0)</f>
        <v>0</v>
      </c>
      <c r="J49" s="10">
        <f>IFERROR(C49/E49,0)</f>
        <v>0</v>
      </c>
      <c r="K49" s="10">
        <f>IFERROR(D49/E49,0)</f>
        <v>0</v>
      </c>
      <c r="L49" s="10" t="str">
        <f>LEFT(B49,3)</f>
        <v>PEG</v>
      </c>
      <c r="N49">
        <f t="shared" si="1"/>
        <v>0</v>
      </c>
      <c r="O49">
        <f t="shared" si="7"/>
        <v>0</v>
      </c>
      <c r="P49">
        <f t="shared" si="8"/>
        <v>0</v>
      </c>
      <c r="Q49">
        <f t="shared" si="9"/>
        <v>0</v>
      </c>
      <c r="R49">
        <f t="shared" si="12"/>
        <v>0</v>
      </c>
      <c r="S49">
        <f t="shared" si="13"/>
        <v>0</v>
      </c>
    </row>
    <row r="50" spans="1:19" x14ac:dyDescent="0.25">
      <c r="A50">
        <v>49</v>
      </c>
      <c r="B50" t="s">
        <v>110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7">
        <f>IFERROR((F50/E50)*100,0)</f>
        <v>0</v>
      </c>
      <c r="J50" s="10">
        <f>IFERROR(C50/E50,0)</f>
        <v>0</v>
      </c>
      <c r="K50" s="10">
        <f>IFERROR(D50/E50,0)</f>
        <v>0</v>
      </c>
      <c r="L50" s="10" t="str">
        <f>LEFT(B50,3)</f>
        <v>PEG</v>
      </c>
      <c r="N50">
        <f t="shared" si="1"/>
        <v>0</v>
      </c>
      <c r="O50">
        <f t="shared" si="7"/>
        <v>0</v>
      </c>
      <c r="P50">
        <f t="shared" si="8"/>
        <v>0</v>
      </c>
      <c r="Q50">
        <f t="shared" si="9"/>
        <v>0</v>
      </c>
      <c r="R50">
        <f t="shared" si="12"/>
        <v>0</v>
      </c>
      <c r="S50">
        <f t="shared" si="13"/>
        <v>0</v>
      </c>
    </row>
    <row r="51" spans="1:19" x14ac:dyDescent="0.25">
      <c r="A51">
        <v>50</v>
      </c>
      <c r="B51" t="s">
        <v>113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>IFERROR((F51/E51)*100,0)</f>
        <v>0</v>
      </c>
      <c r="J51" s="10">
        <f>IFERROR(C51/E51,0)</f>
        <v>0</v>
      </c>
      <c r="K51" s="10">
        <f>IFERROR(D51/E51,0)</f>
        <v>0</v>
      </c>
      <c r="L51" s="10" t="str">
        <f>LEFT(B51,3)</f>
        <v>PEG</v>
      </c>
      <c r="N51">
        <f t="shared" si="1"/>
        <v>0</v>
      </c>
      <c r="O51">
        <f t="shared" si="7"/>
        <v>0</v>
      </c>
      <c r="P51">
        <f t="shared" si="8"/>
        <v>0</v>
      </c>
      <c r="Q51">
        <f t="shared" si="9"/>
        <v>0</v>
      </c>
      <c r="R51">
        <f t="shared" si="12"/>
        <v>0</v>
      </c>
      <c r="S51">
        <f t="shared" si="13"/>
        <v>0</v>
      </c>
    </row>
    <row r="52" spans="1:19" x14ac:dyDescent="0.25">
      <c r="A52">
        <v>51</v>
      </c>
      <c r="B52" t="s">
        <v>101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>IFERROR((F52/E52)*100,0)</f>
        <v>0</v>
      </c>
      <c r="J52" s="10">
        <f>IFERROR(C52/E52,0)</f>
        <v>0</v>
      </c>
      <c r="K52" s="10">
        <f>IFERROR(D52/E52,0)</f>
        <v>0</v>
      </c>
      <c r="L52" s="10" t="str">
        <f>LEFT(B52,3)</f>
        <v>PEG</v>
      </c>
      <c r="N52">
        <f t="shared" si="1"/>
        <v>0</v>
      </c>
      <c r="O52">
        <f t="shared" si="7"/>
        <v>0</v>
      </c>
      <c r="P52">
        <f t="shared" si="8"/>
        <v>0</v>
      </c>
      <c r="Q52">
        <f t="shared" si="9"/>
        <v>0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t="s">
        <v>84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 s="7">
        <f>IFERROR((F53/E53)*100,0)</f>
        <v>0</v>
      </c>
      <c r="J53" s="10">
        <f>IFERROR(C53/E53,0)</f>
        <v>0</v>
      </c>
      <c r="K53" s="10">
        <f>IFERROR(D53/E53,0)</f>
        <v>0</v>
      </c>
      <c r="L53" s="10" t="str">
        <f>LEFT(B53,3)</f>
        <v>PEG</v>
      </c>
      <c r="N53">
        <f t="shared" si="1"/>
        <v>0</v>
      </c>
      <c r="O53">
        <f t="shared" si="7"/>
        <v>0</v>
      </c>
      <c r="P53">
        <f t="shared" si="8"/>
        <v>0</v>
      </c>
      <c r="Q53">
        <f t="shared" si="9"/>
        <v>0</v>
      </c>
      <c r="R53">
        <f t="shared" si="12"/>
        <v>0</v>
      </c>
      <c r="S53">
        <f t="shared" si="13"/>
        <v>0</v>
      </c>
    </row>
    <row r="54" spans="1:19" x14ac:dyDescent="0.25">
      <c r="A54">
        <v>53</v>
      </c>
      <c r="B54" t="s">
        <v>102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>LEFT(B54,3)</f>
        <v>PEG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103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>IFERROR((F55/E55)*100,0)</f>
        <v>0</v>
      </c>
      <c r="J55" s="10">
        <f>IFERROR(C55/E55,0)</f>
        <v>0</v>
      </c>
      <c r="K55" s="10">
        <f>IFERROR(D55/E55,0)</f>
        <v>0</v>
      </c>
      <c r="L55" s="10" t="str">
        <f>LEFT(B55,3)</f>
        <v>PEG</v>
      </c>
      <c r="N55">
        <f t="shared" si="1"/>
        <v>0</v>
      </c>
      <c r="O55">
        <f t="shared" si="7"/>
        <v>0</v>
      </c>
      <c r="P55">
        <f t="shared" si="8"/>
        <v>0</v>
      </c>
      <c r="Q55">
        <f t="shared" si="9"/>
        <v>0</v>
      </c>
      <c r="R55">
        <f t="shared" si="12"/>
        <v>0</v>
      </c>
      <c r="S55">
        <f t="shared" si="13"/>
        <v>0</v>
      </c>
    </row>
    <row r="56" spans="1:19" x14ac:dyDescent="0.25">
      <c r="A56">
        <v>55</v>
      </c>
      <c r="B56" t="s">
        <v>147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>IFERROR((F56/E56)*100,0)</f>
        <v>0</v>
      </c>
      <c r="J56" s="10">
        <f>IFERROR(C56/E56,0)</f>
        <v>0</v>
      </c>
      <c r="K56" s="10">
        <f>IFERROR(D56/E56,0)</f>
        <v>0</v>
      </c>
      <c r="L56" s="10" t="str">
        <f>LEFT(B56,3)</f>
        <v>UEG</v>
      </c>
      <c r="N56">
        <f t="shared" si="1"/>
        <v>0</v>
      </c>
      <c r="O56">
        <f t="shared" si="7"/>
        <v>0</v>
      </c>
      <c r="P56">
        <f t="shared" si="8"/>
        <v>0</v>
      </c>
      <c r="Q56">
        <f t="shared" si="9"/>
        <v>0</v>
      </c>
      <c r="R56">
        <f t="shared" si="12"/>
        <v>0</v>
      </c>
      <c r="S56">
        <f t="shared" si="13"/>
        <v>0</v>
      </c>
    </row>
    <row r="57" spans="1:19" x14ac:dyDescent="0.25">
      <c r="A57">
        <v>56</v>
      </c>
      <c r="B57" t="s">
        <v>66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>LEFT(B57,3)</f>
        <v>UEG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t="s">
        <v>91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>LEFT(B58,3)</f>
        <v>UEG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t="s">
        <v>94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>LEFT(B59,3)</f>
        <v>UEG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95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>LEFT(B60,3)</f>
        <v>UEG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>LEFT(B61,3)</f>
        <v>UEG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96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>LEFT(B62,3)</f>
        <v>UEG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s="5" t="s">
        <v>100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>IFERROR((F63/E63)*100,0)</f>
        <v>0</v>
      </c>
      <c r="J63" s="10">
        <f>IFERROR(C63/E63,0)</f>
        <v>0</v>
      </c>
      <c r="K63" s="10">
        <f>IFERROR(D63/E63,0)</f>
        <v>0</v>
      </c>
      <c r="L63" s="10" t="str">
        <f>LEFT(B63,3)</f>
        <v>UEG</v>
      </c>
      <c r="N63">
        <f t="shared" si="1"/>
        <v>0</v>
      </c>
      <c r="O63">
        <f t="shared" si="7"/>
        <v>0</v>
      </c>
      <c r="P63">
        <f t="shared" si="8"/>
        <v>0</v>
      </c>
      <c r="Q63">
        <f t="shared" si="9"/>
        <v>0</v>
      </c>
      <c r="R63">
        <f t="shared" si="12"/>
        <v>0</v>
      </c>
      <c r="S63">
        <f t="shared" si="13"/>
        <v>0</v>
      </c>
    </row>
    <row r="64" spans="1:19" x14ac:dyDescent="0.25">
      <c r="A64">
        <v>63</v>
      </c>
      <c r="B64" s="5" t="s">
        <v>83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 s="7">
        <f>IFERROR((F64/E64)*100,0)</f>
        <v>0</v>
      </c>
      <c r="J64" s="10">
        <f>IFERROR(C64/E64,0)</f>
        <v>0</v>
      </c>
      <c r="K64" s="10">
        <f>IFERROR(D64/E64,0)</f>
        <v>0</v>
      </c>
      <c r="L64" s="10" t="str">
        <f>LEFT(B64,3)</f>
        <v>WEG</v>
      </c>
      <c r="N64">
        <f t="shared" si="1"/>
        <v>0</v>
      </c>
      <c r="O64">
        <f t="shared" si="7"/>
        <v>0</v>
      </c>
      <c r="P64">
        <f t="shared" si="8"/>
        <v>0</v>
      </c>
      <c r="Q64">
        <f t="shared" si="9"/>
        <v>0</v>
      </c>
      <c r="R64">
        <f t="shared" si="12"/>
        <v>0</v>
      </c>
      <c r="S64">
        <f t="shared" si="13"/>
        <v>0</v>
      </c>
    </row>
    <row r="65" spans="1:19" x14ac:dyDescent="0.25">
      <c r="A65">
        <v>64</v>
      </c>
      <c r="B65" s="5" t="s">
        <v>90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>LEFT(B65,3)</f>
        <v>WEG</v>
      </c>
      <c r="N65">
        <f t="shared" ref="N65" si="14">C65+U65</f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73" spans="1:19" x14ac:dyDescent="0.25">
      <c r="B73" s="8"/>
    </row>
    <row r="74" spans="1:19" x14ac:dyDescent="0.25">
      <c r="B74" s="8"/>
    </row>
    <row r="75" spans="1:19" x14ac:dyDescent="0.25">
      <c r="B75" s="8"/>
    </row>
  </sheetData>
  <sortState xmlns:xlrd2="http://schemas.microsoft.com/office/spreadsheetml/2017/richdata2" ref="A2:L75">
    <sortCondition descending="1" ref="E2:E7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6"/>
  <sheetViews>
    <sheetView workbookViewId="0">
      <pane xSplit="1" topLeftCell="B1" activePane="topRight" state="frozen"/>
      <selection pane="topRight" activeCell="Q25" sqref="H3:Q25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13" x14ac:dyDescent="0.25">
      <c r="A1" t="s">
        <v>124</v>
      </c>
      <c r="C1">
        <v>500</v>
      </c>
    </row>
    <row r="2" spans="1:13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13" x14ac:dyDescent="0.25">
      <c r="A3" t="s">
        <v>65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  <c r="H3" s="18"/>
      <c r="I3" s="18"/>
      <c r="J3" s="18"/>
      <c r="K3" s="18"/>
      <c r="L3" s="18"/>
      <c r="M3" s="18"/>
    </row>
    <row r="4" spans="1:13" x14ac:dyDescent="0.25">
      <c r="A4" t="s">
        <v>64</v>
      </c>
      <c r="B4">
        <f>SUM(H4:AB4)</f>
        <v>0</v>
      </c>
      <c r="C4">
        <f>(B4/$C$1)*100</f>
        <v>0</v>
      </c>
      <c r="D4">
        <f>COUNTA(H4:AB4)</f>
        <v>0</v>
      </c>
      <c r="E4">
        <f>COUNTIF(H4:AB4, "&gt;0")</f>
        <v>0</v>
      </c>
      <c r="F4">
        <f>COUNTIF(H4:AB4, "=0")</f>
        <v>0</v>
      </c>
      <c r="G4">
        <f>COUNTIF(H4:AB4, "&lt;0")</f>
        <v>0</v>
      </c>
      <c r="H4" s="18"/>
      <c r="I4" s="17"/>
      <c r="J4" s="17"/>
    </row>
    <row r="5" spans="1:13" x14ac:dyDescent="0.25">
      <c r="A5" t="s">
        <v>56</v>
      </c>
      <c r="B5">
        <f>SUM(H5:AB5)</f>
        <v>0</v>
      </c>
      <c r="C5">
        <f>(B5/$C$1)*100</f>
        <v>0</v>
      </c>
      <c r="D5">
        <f>COUNTA(H5:AB5)</f>
        <v>0</v>
      </c>
      <c r="E5">
        <f>COUNTIF(H5:AB5, "&gt;0")</f>
        <v>0</v>
      </c>
      <c r="F5">
        <f>COUNTIF(H5:AB5, "=0")</f>
        <v>0</v>
      </c>
      <c r="G5">
        <f>COUNTIF(H5:AB5, "&lt;0")</f>
        <v>0</v>
      </c>
      <c r="H5" s="18"/>
      <c r="I5" s="17"/>
      <c r="J5" s="17"/>
    </row>
    <row r="6" spans="1:13" x14ac:dyDescent="0.25">
      <c r="A6" t="s">
        <v>55</v>
      </c>
      <c r="B6">
        <f>SUM(H6:AB6)</f>
        <v>0</v>
      </c>
      <c r="C6">
        <f>(B6/$C$1)*100</f>
        <v>0</v>
      </c>
      <c r="D6">
        <f>COUNTA(H6:AB6)</f>
        <v>0</v>
      </c>
      <c r="E6">
        <f>COUNTIF(H6:AB6, "&gt;0")</f>
        <v>0</v>
      </c>
      <c r="F6">
        <f>COUNTIF(H6:AB6, "=0")</f>
        <v>0</v>
      </c>
      <c r="G6">
        <f>COUNTIF(H6:AB6, "&lt;0")</f>
        <v>0</v>
      </c>
      <c r="H6" s="18"/>
      <c r="I6" s="17"/>
    </row>
    <row r="7" spans="1:13" x14ac:dyDescent="0.25">
      <c r="A7" t="s">
        <v>57</v>
      </c>
      <c r="B7">
        <f>SUM(H7:AB7)</f>
        <v>0</v>
      </c>
      <c r="C7">
        <f>(B7/$C$1)*100</f>
        <v>0</v>
      </c>
      <c r="D7">
        <f>COUNTA(H7:AB7)</f>
        <v>0</v>
      </c>
      <c r="E7">
        <f>COUNTIF(H7:AB7, "&gt;0")</f>
        <v>0</v>
      </c>
      <c r="F7">
        <f>COUNTIF(H7:AB7, "=0")</f>
        <v>0</v>
      </c>
      <c r="G7">
        <f>COUNTIF(H7:AB7, "&lt;0")</f>
        <v>0</v>
      </c>
      <c r="H7" s="18"/>
      <c r="I7" s="17"/>
      <c r="J7" s="17"/>
    </row>
    <row r="8" spans="1:13" x14ac:dyDescent="0.25">
      <c r="A8" t="s">
        <v>62</v>
      </c>
      <c r="B8">
        <f>SUM(H8:AB8)</f>
        <v>0</v>
      </c>
      <c r="C8">
        <f>(B8/$C$1)*100</f>
        <v>0</v>
      </c>
      <c r="D8">
        <f>COUNTA(H8:AB8)</f>
        <v>0</v>
      </c>
      <c r="E8">
        <f>COUNTIF(H8:AB8, "&gt;0")</f>
        <v>0</v>
      </c>
      <c r="F8">
        <f>COUNTIF(H8:AB8, "=0")</f>
        <v>0</v>
      </c>
      <c r="G8">
        <f>COUNTIF(H8:AB8, "&lt;0")</f>
        <v>0</v>
      </c>
      <c r="H8" s="18"/>
      <c r="I8" s="18"/>
    </row>
    <row r="9" spans="1:13" x14ac:dyDescent="0.25">
      <c r="A9" t="s">
        <v>67</v>
      </c>
      <c r="B9">
        <f>SUM(H9:AB9)</f>
        <v>0</v>
      </c>
      <c r="C9">
        <f>(B9/$C$1)*100</f>
        <v>0</v>
      </c>
      <c r="D9">
        <f>COUNTA(H9:AB9)</f>
        <v>0</v>
      </c>
      <c r="E9">
        <f>COUNTIF(H9:AB9, "&gt;0")</f>
        <v>0</v>
      </c>
      <c r="F9">
        <f>COUNTIF(H9:AB9, "=0")</f>
        <v>0</v>
      </c>
      <c r="G9">
        <f>COUNTIF(H9:AB9, "&lt;0")</f>
        <v>0</v>
      </c>
      <c r="H9" s="18"/>
      <c r="I9" s="19"/>
      <c r="J9" s="17"/>
    </row>
    <row r="10" spans="1:13" x14ac:dyDescent="0.25">
      <c r="A10" t="s">
        <v>59</v>
      </c>
      <c r="B10">
        <f>SUM(H10:AB10)</f>
        <v>0</v>
      </c>
      <c r="C10">
        <f>(B10/$C$1)*100</f>
        <v>0</v>
      </c>
      <c r="D10">
        <f>COUNTA(H10:AB10)</f>
        <v>0</v>
      </c>
      <c r="E10">
        <f>COUNTIF(H10:AB10, "&gt;0")</f>
        <v>0</v>
      </c>
      <c r="F10">
        <f>COUNTIF(H10:AB10, "=0")</f>
        <v>0</v>
      </c>
      <c r="G10">
        <f>COUNTIF(H10:AB10, "&lt;0")</f>
        <v>0</v>
      </c>
      <c r="H10" s="18"/>
      <c r="I10" s="17"/>
      <c r="J10" s="17"/>
    </row>
    <row r="11" spans="1:13" x14ac:dyDescent="0.25">
      <c r="A11" t="s">
        <v>60</v>
      </c>
      <c r="B11">
        <f>SUM(H11:AB11)</f>
        <v>0</v>
      </c>
      <c r="C11">
        <f>(B11/$C$1)*100</f>
        <v>0</v>
      </c>
      <c r="D11">
        <f>COUNTA(H11:AB11)</f>
        <v>0</v>
      </c>
      <c r="E11">
        <f>COUNTIF(H11:AB11, "&gt;0")</f>
        <v>0</v>
      </c>
      <c r="F11">
        <f>COUNTIF(H11:AB11, "=0")</f>
        <v>0</v>
      </c>
      <c r="G11">
        <f>COUNTIF(H11:AB11, "&lt;0")</f>
        <v>0</v>
      </c>
      <c r="H11" s="18"/>
      <c r="I11" s="19"/>
    </row>
    <row r="12" spans="1:13" x14ac:dyDescent="0.25">
      <c r="A12" t="s">
        <v>77</v>
      </c>
      <c r="B12">
        <f>SUM(H12:AB12)</f>
        <v>0</v>
      </c>
      <c r="C12">
        <f>(B12/$C$1)*100</f>
        <v>0</v>
      </c>
      <c r="D12">
        <f>COUNTA(H12:AB12)</f>
        <v>0</v>
      </c>
      <c r="E12">
        <f>COUNTIF(H12:AB12, "&gt;0")</f>
        <v>0</v>
      </c>
      <c r="F12">
        <f>COUNTIF(H12:AB12, "=0")</f>
        <v>0</v>
      </c>
      <c r="G12">
        <f>COUNTIF(H12:AB12, "&lt;0")</f>
        <v>0</v>
      </c>
      <c r="H12" s="18"/>
      <c r="I12" s="19"/>
    </row>
    <row r="13" spans="1:13" x14ac:dyDescent="0.25">
      <c r="A13" t="s">
        <v>92</v>
      </c>
      <c r="B13">
        <f>SUM(H13:AB13)</f>
        <v>0</v>
      </c>
      <c r="C13">
        <f>(B13/$C$1)*100</f>
        <v>0</v>
      </c>
      <c r="D13">
        <f>COUNTA(H13:AB13)</f>
        <v>0</v>
      </c>
      <c r="E13">
        <f>COUNTIF(H13:AB13, "&gt;0")</f>
        <v>0</v>
      </c>
      <c r="F13">
        <f>COUNTIF(H13:AB13, "=0")</f>
        <v>0</v>
      </c>
      <c r="G13">
        <f>COUNTIF(H13:AB13, "&lt;0")</f>
        <v>0</v>
      </c>
      <c r="H13" s="18"/>
      <c r="I13" s="18"/>
      <c r="J13" s="15"/>
    </row>
    <row r="14" spans="1:13" x14ac:dyDescent="0.25">
      <c r="A14" t="s">
        <v>73</v>
      </c>
      <c r="B14">
        <f>SUM(H14:AB14)</f>
        <v>0</v>
      </c>
      <c r="C14">
        <f>(B14/$C$1)*100</f>
        <v>0</v>
      </c>
      <c r="D14">
        <f>COUNTA(H14:AB14)</f>
        <v>0</v>
      </c>
      <c r="E14">
        <f>COUNTIF(H14:AB14, "&gt;0")</f>
        <v>0</v>
      </c>
      <c r="F14">
        <f>COUNTIF(H14:AB14, "=0")</f>
        <v>0</v>
      </c>
      <c r="G14">
        <f>COUNTIF(H14:AB14, "&lt;0")</f>
        <v>0</v>
      </c>
      <c r="H14" s="18"/>
      <c r="I14" s="19"/>
      <c r="J14" s="19"/>
    </row>
    <row r="15" spans="1:13" x14ac:dyDescent="0.25">
      <c r="A15" t="s">
        <v>58</v>
      </c>
      <c r="B15">
        <f>SUM(H15:AB15)</f>
        <v>0</v>
      </c>
      <c r="C15">
        <f>(B15/$C$1)*100</f>
        <v>0</v>
      </c>
      <c r="D15">
        <f>COUNTA(H15:AB15)</f>
        <v>0</v>
      </c>
      <c r="E15">
        <f>COUNTIF(H15:AB15, "&gt;0")</f>
        <v>0</v>
      </c>
      <c r="F15">
        <f>COUNTIF(H15:AB15, "=0")</f>
        <v>0</v>
      </c>
      <c r="G15">
        <f>COUNTIF(H15:AB15, "&lt;0")</f>
        <v>0</v>
      </c>
      <c r="H15" s="18"/>
      <c r="I15" s="15"/>
      <c r="J15" s="15"/>
    </row>
    <row r="16" spans="1:13" x14ac:dyDescent="0.25">
      <c r="A16" t="s">
        <v>119</v>
      </c>
      <c r="B16">
        <f>SUM(H16:AB16)</f>
        <v>0</v>
      </c>
      <c r="C16">
        <f>(B16/$C$1)*100</f>
        <v>0</v>
      </c>
      <c r="D16">
        <f>COUNTA(H16:AB16)</f>
        <v>0</v>
      </c>
      <c r="E16">
        <f>COUNTIF(H16:AB16, "&gt;0")</f>
        <v>0</v>
      </c>
      <c r="F16">
        <f>COUNTIF(H16:AB16, "=0")</f>
        <v>0</v>
      </c>
      <c r="G16">
        <f>COUNTIF(H16:AB16, "&lt;0")</f>
        <v>0</v>
      </c>
      <c r="H16" s="18"/>
      <c r="I16" s="15"/>
    </row>
    <row r="17" spans="1:12" x14ac:dyDescent="0.25">
      <c r="A17" t="s">
        <v>68</v>
      </c>
      <c r="B17">
        <f>SUM(H17:AB17)</f>
        <v>0</v>
      </c>
      <c r="C17">
        <f>(B17/$C$1)*100</f>
        <v>0</v>
      </c>
      <c r="D17">
        <f>COUNTA(H17:AB17)</f>
        <v>0</v>
      </c>
      <c r="E17">
        <f>COUNTIF(H17:AB17, "&gt;0")</f>
        <v>0</v>
      </c>
      <c r="F17">
        <f>COUNTIF(H17:AB17, "=0")</f>
        <v>0</v>
      </c>
      <c r="G17">
        <f>COUNTIF(H17:AB17, "&lt;0")</f>
        <v>0</v>
      </c>
      <c r="H17" s="17"/>
    </row>
    <row r="18" spans="1:12" x14ac:dyDescent="0.25">
      <c r="A18" t="s">
        <v>116</v>
      </c>
      <c r="B18">
        <f>SUM(H18:AB18)</f>
        <v>0</v>
      </c>
      <c r="C18">
        <f>(B18/$C$1)*100</f>
        <v>0</v>
      </c>
      <c r="D18">
        <f>COUNTA(H18:AB18)</f>
        <v>0</v>
      </c>
      <c r="E18">
        <f>COUNTIF(H18:AB18, "&gt;0")</f>
        <v>0</v>
      </c>
      <c r="F18">
        <f>COUNTIF(H18:AB18, "=0")</f>
        <v>0</v>
      </c>
      <c r="G18">
        <f>COUNTIF(H18:AB18, "&lt;0")</f>
        <v>0</v>
      </c>
      <c r="H18" s="18"/>
      <c r="I18" s="19"/>
      <c r="J18" s="15"/>
    </row>
    <row r="19" spans="1:12" x14ac:dyDescent="0.25">
      <c r="A19" t="s">
        <v>111</v>
      </c>
      <c r="B19">
        <f>SUM(H19:AB19)</f>
        <v>0</v>
      </c>
      <c r="C19">
        <f>(B19/$C$1)*100</f>
        <v>0</v>
      </c>
      <c r="D19">
        <f>COUNTA(H19:AB19)</f>
        <v>0</v>
      </c>
      <c r="E19">
        <f>COUNTIF(H19:AB19, "&gt;0")</f>
        <v>0</v>
      </c>
      <c r="F19">
        <f>COUNTIF(H19:AB19, "=0")</f>
        <v>0</v>
      </c>
      <c r="G19">
        <f>COUNTIF(H19:AB19, "&lt;0")</f>
        <v>0</v>
      </c>
      <c r="H19" s="18"/>
      <c r="I19" s="15"/>
    </row>
    <row r="20" spans="1:12" x14ac:dyDescent="0.25">
      <c r="A20" t="s">
        <v>63</v>
      </c>
      <c r="B20">
        <f>SUM(H20:AB20)</f>
        <v>0</v>
      </c>
      <c r="C20">
        <f>(B20/$C$1)*100</f>
        <v>0</v>
      </c>
      <c r="D20">
        <f>COUNTA(H20:AB20)</f>
        <v>0</v>
      </c>
      <c r="E20">
        <f>COUNTIF(H20:AB20, "&gt;0")</f>
        <v>0</v>
      </c>
      <c r="F20">
        <f>COUNTIF(H20:AB20, "=0")</f>
        <v>0</v>
      </c>
      <c r="G20">
        <f>COUNTIF(H20:AB20, "&lt;0")</f>
        <v>0</v>
      </c>
      <c r="H20" s="18"/>
    </row>
    <row r="21" spans="1:12" x14ac:dyDescent="0.25">
      <c r="A21" t="s">
        <v>61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  <c r="H21" s="18"/>
    </row>
    <row r="22" spans="1:12" x14ac:dyDescent="0.25">
      <c r="A22" t="s">
        <v>74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  <c r="H22" s="17"/>
    </row>
    <row r="23" spans="1:12" x14ac:dyDescent="0.25">
      <c r="A23" t="s">
        <v>70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  <c r="H23" s="17"/>
    </row>
    <row r="24" spans="1:12" x14ac:dyDescent="0.25">
      <c r="A24" t="s">
        <v>115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7"/>
      <c r="I24" s="17"/>
    </row>
    <row r="25" spans="1:12" x14ac:dyDescent="0.25">
      <c r="A25" t="s">
        <v>108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17"/>
    </row>
    <row r="26" spans="1:12" x14ac:dyDescent="0.25">
      <c r="A26" t="s">
        <v>118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7"/>
    </row>
    <row r="27" spans="1:12" x14ac:dyDescent="0.25">
      <c r="A27" t="s">
        <v>112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7"/>
    </row>
    <row r="28" spans="1:12" x14ac:dyDescent="0.25">
      <c r="A28" t="s">
        <v>76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8"/>
      <c r="I28" s="15"/>
      <c r="J28" s="15"/>
      <c r="K28" s="15"/>
      <c r="L28" s="15"/>
    </row>
    <row r="29" spans="1:12" x14ac:dyDescent="0.25">
      <c r="A29" t="s">
        <v>82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9"/>
    </row>
    <row r="30" spans="1:12" x14ac:dyDescent="0.25">
      <c r="A30" t="s">
        <v>69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9"/>
    </row>
    <row r="31" spans="1:12" x14ac:dyDescent="0.25">
      <c r="A31" t="s">
        <v>71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9"/>
    </row>
    <row r="32" spans="1:12" x14ac:dyDescent="0.25">
      <c r="A32" t="s">
        <v>109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7"/>
      <c r="I32" s="17"/>
    </row>
    <row r="33" spans="1:10" x14ac:dyDescent="0.25">
      <c r="A33" t="s">
        <v>97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7"/>
    </row>
    <row r="34" spans="1:10" x14ac:dyDescent="0.25">
      <c r="A34" t="s">
        <v>117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9"/>
    </row>
    <row r="35" spans="1:10" x14ac:dyDescent="0.25">
      <c r="A35" t="s">
        <v>93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7"/>
    </row>
    <row r="36" spans="1:10" x14ac:dyDescent="0.25">
      <c r="A36" t="s">
        <v>88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9"/>
    </row>
    <row r="37" spans="1:10" x14ac:dyDescent="0.25">
      <c r="A37" t="s">
        <v>98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0" x14ac:dyDescent="0.25">
      <c r="A38" t="s">
        <v>75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</row>
    <row r="39" spans="1:10" x14ac:dyDescent="0.25">
      <c r="A39" t="s">
        <v>81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0" x14ac:dyDescent="0.25">
      <c r="A40" t="s">
        <v>105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0" x14ac:dyDescent="0.25">
      <c r="A41" t="s">
        <v>54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  <c r="I41" s="15"/>
      <c r="J41" s="15"/>
    </row>
    <row r="42" spans="1:10" x14ac:dyDescent="0.25">
      <c r="A42" t="s">
        <v>114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0" x14ac:dyDescent="0.25">
      <c r="A43" t="s">
        <v>72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0" x14ac:dyDescent="0.25">
      <c r="A44" t="s">
        <v>86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10" x14ac:dyDescent="0.25">
      <c r="A45" s="5" t="s">
        <v>85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t="s">
        <v>87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89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s="5" t="s">
        <v>104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10" x14ac:dyDescent="0.25">
      <c r="A49" s="5" t="s">
        <v>106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</row>
    <row r="50" spans="1:10" x14ac:dyDescent="0.25">
      <c r="A50" s="5" t="s">
        <v>107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10" x14ac:dyDescent="0.25">
      <c r="A51" t="s">
        <v>110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t="s">
        <v>113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t="s">
        <v>101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t="s">
        <v>84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t="s">
        <v>102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10" x14ac:dyDescent="0.25">
      <c r="A56" t="s">
        <v>103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10" x14ac:dyDescent="0.25">
      <c r="A57" t="s">
        <v>147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10" x14ac:dyDescent="0.25">
      <c r="A58" t="s">
        <v>66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</row>
    <row r="59" spans="1:10" x14ac:dyDescent="0.25">
      <c r="A59" t="s">
        <v>91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10" x14ac:dyDescent="0.25">
      <c r="A60" t="s">
        <v>94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10" x14ac:dyDescent="0.25">
      <c r="A61" t="s">
        <v>95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</row>
    <row r="62" spans="1:10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10" x14ac:dyDescent="0.25">
      <c r="A63" t="s">
        <v>96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10" x14ac:dyDescent="0.25">
      <c r="A64" s="5" t="s">
        <v>100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7" x14ac:dyDescent="0.25">
      <c r="A65" s="5" t="s">
        <v>83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7" x14ac:dyDescent="0.25">
      <c r="A66" s="5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</sheetData>
  <sortState xmlns:xlrd2="http://schemas.microsoft.com/office/spreadsheetml/2017/richdata2" ref="A3:AB66">
    <sortCondition descending="1" ref="D3:D6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2026-09-23T16:06:12Z</dcterms:modified>
</cp:coreProperties>
</file>