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58760FCF-D965-4304-81F8-230913DD994F}" xr6:coauthVersionLast="47" xr6:coauthVersionMax="47" xr10:uidLastSave="{00000000-0000-0000-0000-000000000000}"/>
  <bookViews>
    <workbookView xWindow="28680" yWindow="-120" windowWidth="29040" windowHeight="15840" activeTab="3" xr2:uid="{00000000-000D-0000-FFFF-FFFF00000000}"/>
  </bookViews>
  <sheets>
    <sheet name="Тикеры" sheetId="1" r:id="rId1"/>
    <sheet name="История запусков" sheetId="3" r:id="rId2"/>
    <sheet name="Результаты" sheetId="4" r:id="rId3"/>
    <sheet name="СумматорСегодня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67" i="4" l="1"/>
  <c r="N67" i="4"/>
  <c r="P66" i="4"/>
  <c r="N66" i="4"/>
  <c r="N65" i="4"/>
  <c r="N64" i="4"/>
  <c r="N63" i="4"/>
  <c r="P62" i="4"/>
  <c r="N62" i="4"/>
  <c r="R61" i="4"/>
  <c r="N61" i="4"/>
  <c r="P60" i="4"/>
  <c r="N60" i="4"/>
  <c r="N59" i="4"/>
  <c r="N58" i="4"/>
  <c r="N57" i="4"/>
  <c r="P56" i="4"/>
  <c r="N56" i="4"/>
  <c r="R55" i="4"/>
  <c r="N55" i="4"/>
  <c r="P54" i="4"/>
  <c r="N54" i="4"/>
  <c r="N53" i="4"/>
  <c r="N52" i="4"/>
  <c r="N51" i="4"/>
  <c r="P50" i="4"/>
  <c r="N50" i="4"/>
  <c r="R49" i="4"/>
  <c r="N49" i="4"/>
  <c r="P48" i="4"/>
  <c r="N48" i="4"/>
  <c r="N47" i="4"/>
  <c r="N46" i="4"/>
  <c r="R45" i="4"/>
  <c r="N45" i="4"/>
  <c r="P44" i="4"/>
  <c r="N44" i="4"/>
  <c r="R43" i="4"/>
  <c r="N43" i="4"/>
  <c r="P42" i="4"/>
  <c r="N42" i="4"/>
  <c r="N41" i="4"/>
  <c r="N40" i="4"/>
  <c r="N39" i="4"/>
  <c r="P38" i="4"/>
  <c r="N38" i="4"/>
  <c r="R37" i="4"/>
  <c r="N37" i="4"/>
  <c r="R36" i="4"/>
  <c r="P36" i="4"/>
  <c r="N36" i="4"/>
  <c r="N35" i="4"/>
  <c r="N34" i="4"/>
  <c r="R33" i="4"/>
  <c r="N33" i="4"/>
  <c r="P32" i="4"/>
  <c r="N32" i="4"/>
  <c r="R31" i="4"/>
  <c r="N31" i="4"/>
  <c r="P30" i="4"/>
  <c r="N30" i="4"/>
  <c r="N29" i="4"/>
  <c r="N28" i="4"/>
  <c r="R27" i="4"/>
  <c r="N27" i="4"/>
  <c r="P26" i="4"/>
  <c r="N26" i="4"/>
  <c r="R25" i="4"/>
  <c r="N25" i="4"/>
  <c r="R24" i="4"/>
  <c r="P24" i="4"/>
  <c r="N24" i="4"/>
  <c r="R23" i="4"/>
  <c r="N23" i="4"/>
  <c r="Q22" i="4"/>
  <c r="N22" i="4"/>
  <c r="R21" i="4"/>
  <c r="O21" i="4"/>
  <c r="N21" i="4"/>
  <c r="P20" i="4"/>
  <c r="O20" i="4"/>
  <c r="N20" i="4"/>
  <c r="R19" i="4"/>
  <c r="N19" i="4"/>
  <c r="P18" i="4"/>
  <c r="O18" i="4"/>
  <c r="N18" i="4"/>
  <c r="R17" i="4"/>
  <c r="N17" i="4"/>
  <c r="Q16" i="4"/>
  <c r="N16" i="4"/>
  <c r="R15" i="4"/>
  <c r="O15" i="4"/>
  <c r="N15" i="4"/>
  <c r="P14" i="4"/>
  <c r="O14" i="4"/>
  <c r="N14" i="4"/>
  <c r="R13" i="4"/>
  <c r="Q13" i="4"/>
  <c r="N13" i="4"/>
  <c r="R12" i="4"/>
  <c r="P12" i="4"/>
  <c r="O12" i="4"/>
  <c r="N12" i="4"/>
  <c r="R11" i="4"/>
  <c r="O11" i="4"/>
  <c r="N11" i="4"/>
  <c r="Q10" i="4"/>
  <c r="N10" i="4"/>
  <c r="R9" i="4"/>
  <c r="O9" i="4"/>
  <c r="N9" i="4"/>
  <c r="P8" i="4"/>
  <c r="O8" i="4"/>
  <c r="N8" i="4"/>
  <c r="R7" i="4"/>
  <c r="Q7" i="4"/>
  <c r="N7" i="4"/>
  <c r="P6" i="4"/>
  <c r="O6" i="4"/>
  <c r="N6" i="4"/>
  <c r="R5" i="4"/>
  <c r="O5" i="4"/>
  <c r="N5" i="4"/>
  <c r="Q4" i="4"/>
  <c r="N4" i="4"/>
  <c r="R3" i="4"/>
  <c r="O3" i="4"/>
  <c r="N3" i="4"/>
  <c r="P2" i="4"/>
  <c r="O2" i="4"/>
  <c r="N2" i="4"/>
  <c r="J3" i="4"/>
  <c r="K3" i="4"/>
  <c r="J4" i="4"/>
  <c r="K4" i="4"/>
  <c r="J5" i="4"/>
  <c r="K5" i="4"/>
  <c r="J6" i="4"/>
  <c r="K6" i="4"/>
  <c r="J7" i="4"/>
  <c r="K7" i="4"/>
  <c r="J8" i="4"/>
  <c r="K8" i="4"/>
  <c r="J9" i="4"/>
  <c r="K9" i="4"/>
  <c r="J10" i="4"/>
  <c r="K10" i="4"/>
  <c r="J11" i="4"/>
  <c r="K11" i="4"/>
  <c r="J12" i="4"/>
  <c r="K12" i="4"/>
  <c r="J13" i="4"/>
  <c r="K13" i="4"/>
  <c r="J14" i="4"/>
  <c r="K14" i="4"/>
  <c r="J15" i="4"/>
  <c r="K15" i="4"/>
  <c r="J16" i="4"/>
  <c r="K16" i="4"/>
  <c r="J17" i="4"/>
  <c r="K17" i="4"/>
  <c r="J18" i="4"/>
  <c r="K18" i="4"/>
  <c r="J19" i="4"/>
  <c r="K19" i="4"/>
  <c r="J20" i="4"/>
  <c r="K20" i="4"/>
  <c r="J21" i="4"/>
  <c r="K21" i="4"/>
  <c r="J22" i="4"/>
  <c r="K22" i="4"/>
  <c r="J23" i="4"/>
  <c r="K23" i="4"/>
  <c r="J24" i="4"/>
  <c r="K24" i="4"/>
  <c r="J25" i="4"/>
  <c r="K25" i="4"/>
  <c r="J26" i="4"/>
  <c r="K26" i="4"/>
  <c r="J27" i="4"/>
  <c r="K27" i="4"/>
  <c r="J28" i="4"/>
  <c r="K28" i="4"/>
  <c r="J29" i="4"/>
  <c r="K29" i="4"/>
  <c r="J30" i="4"/>
  <c r="K30" i="4"/>
  <c r="J31" i="4"/>
  <c r="K31" i="4"/>
  <c r="J32" i="4"/>
  <c r="K32" i="4"/>
  <c r="J33" i="4"/>
  <c r="K33" i="4"/>
  <c r="J34" i="4"/>
  <c r="K34" i="4"/>
  <c r="J35" i="4"/>
  <c r="K35" i="4"/>
  <c r="J36" i="4"/>
  <c r="K36" i="4"/>
  <c r="J37" i="4"/>
  <c r="K37" i="4"/>
  <c r="J38" i="4"/>
  <c r="K38" i="4"/>
  <c r="J39" i="4"/>
  <c r="K39" i="4"/>
  <c r="J40" i="4"/>
  <c r="K40" i="4"/>
  <c r="J41" i="4"/>
  <c r="K41" i="4"/>
  <c r="J42" i="4"/>
  <c r="K42" i="4"/>
  <c r="J43" i="4"/>
  <c r="K43" i="4"/>
  <c r="J44" i="4"/>
  <c r="K44" i="4"/>
  <c r="J45" i="4"/>
  <c r="K45" i="4"/>
  <c r="J46" i="4"/>
  <c r="K46" i="4"/>
  <c r="J47" i="4"/>
  <c r="K47" i="4"/>
  <c r="J48" i="4"/>
  <c r="K48" i="4"/>
  <c r="J49" i="4"/>
  <c r="K49" i="4"/>
  <c r="J50" i="4"/>
  <c r="K50" i="4"/>
  <c r="J51" i="4"/>
  <c r="K51" i="4"/>
  <c r="J52" i="4"/>
  <c r="K52" i="4"/>
  <c r="J53" i="4"/>
  <c r="K53" i="4"/>
  <c r="J54" i="4"/>
  <c r="K54" i="4"/>
  <c r="J55" i="4"/>
  <c r="K55" i="4"/>
  <c r="J56" i="4"/>
  <c r="K56" i="4"/>
  <c r="J57" i="4"/>
  <c r="K57" i="4"/>
  <c r="J58" i="4"/>
  <c r="K58" i="4"/>
  <c r="J59" i="4"/>
  <c r="K59" i="4"/>
  <c r="J60" i="4"/>
  <c r="K60" i="4"/>
  <c r="J61" i="4"/>
  <c r="K61" i="4"/>
  <c r="J62" i="4"/>
  <c r="K62" i="4"/>
  <c r="J63" i="4"/>
  <c r="K63" i="4"/>
  <c r="J64" i="4"/>
  <c r="K64" i="4"/>
  <c r="J65" i="4"/>
  <c r="K65" i="4"/>
  <c r="J66" i="4"/>
  <c r="K66" i="4"/>
  <c r="J67" i="4"/>
  <c r="K67" i="4"/>
  <c r="K2" i="4"/>
  <c r="J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2" i="4"/>
  <c r="R2" i="4"/>
  <c r="R4" i="4"/>
  <c r="R6" i="4"/>
  <c r="R8" i="4"/>
  <c r="R10" i="4"/>
  <c r="R14" i="4"/>
  <c r="R16" i="4"/>
  <c r="R18" i="4"/>
  <c r="R20" i="4"/>
  <c r="R22" i="4"/>
  <c r="R26" i="4"/>
  <c r="R28" i="4"/>
  <c r="R29" i="4"/>
  <c r="R30" i="4"/>
  <c r="R32" i="4"/>
  <c r="R34" i="4"/>
  <c r="R35" i="4"/>
  <c r="R38" i="4"/>
  <c r="R39" i="4"/>
  <c r="R40" i="4"/>
  <c r="R41" i="4"/>
  <c r="R42" i="4"/>
  <c r="R44" i="4"/>
  <c r="R46" i="4"/>
  <c r="R47" i="4"/>
  <c r="R48" i="4"/>
  <c r="R50" i="4"/>
  <c r="R51" i="4"/>
  <c r="R52" i="4"/>
  <c r="R53" i="4"/>
  <c r="R54" i="4"/>
  <c r="R56" i="4"/>
  <c r="R57" i="4"/>
  <c r="R58" i="4"/>
  <c r="R59" i="4"/>
  <c r="R60" i="4"/>
  <c r="R62" i="4"/>
  <c r="R63" i="4"/>
  <c r="R64" i="4"/>
  <c r="R65" i="4"/>
  <c r="R66" i="4"/>
  <c r="Q2" i="4"/>
  <c r="P3" i="4"/>
  <c r="Q3" i="4"/>
  <c r="O4" i="4"/>
  <c r="P4" i="4"/>
  <c r="P5" i="4"/>
  <c r="Q5" i="4"/>
  <c r="Q6" i="4"/>
  <c r="O7" i="4"/>
  <c r="P7" i="4"/>
  <c r="Q8" i="4"/>
  <c r="P9" i="4"/>
  <c r="Q9" i="4"/>
  <c r="O10" i="4"/>
  <c r="P10" i="4"/>
  <c r="P11" i="4"/>
  <c r="Q11" i="4"/>
  <c r="Q12" i="4"/>
  <c r="O13" i="4"/>
  <c r="P13" i="4"/>
  <c r="Q14" i="4"/>
  <c r="P15" i="4"/>
  <c r="Q15" i="4"/>
  <c r="O16" i="4"/>
  <c r="P16" i="4"/>
  <c r="O17" i="4"/>
  <c r="P17" i="4"/>
  <c r="Q17" i="4"/>
  <c r="Q18" i="4"/>
  <c r="O19" i="4"/>
  <c r="P19" i="4"/>
  <c r="Q19" i="4"/>
  <c r="Q20" i="4"/>
  <c r="P21" i="4"/>
  <c r="Q21" i="4"/>
  <c r="O22" i="4"/>
  <c r="P22" i="4"/>
  <c r="O23" i="4"/>
  <c r="P23" i="4"/>
  <c r="Q23" i="4"/>
  <c r="O24" i="4"/>
  <c r="Q24" i="4"/>
  <c r="O25" i="4"/>
  <c r="P25" i="4"/>
  <c r="Q25" i="4"/>
  <c r="O26" i="4"/>
  <c r="Q26" i="4"/>
  <c r="O27" i="4"/>
  <c r="P27" i="4"/>
  <c r="Q27" i="4"/>
  <c r="O28" i="4"/>
  <c r="P28" i="4"/>
  <c r="Q28" i="4"/>
  <c r="O29" i="4"/>
  <c r="P29" i="4"/>
  <c r="Q29" i="4"/>
  <c r="O30" i="4"/>
  <c r="Q30" i="4"/>
  <c r="O31" i="4"/>
  <c r="P31" i="4"/>
  <c r="Q31" i="4"/>
  <c r="O32" i="4"/>
  <c r="Q32" i="4"/>
  <c r="O33" i="4"/>
  <c r="P33" i="4"/>
  <c r="Q33" i="4"/>
  <c r="O34" i="4"/>
  <c r="P34" i="4"/>
  <c r="Q34" i="4"/>
  <c r="O35" i="4"/>
  <c r="P35" i="4"/>
  <c r="Q35" i="4"/>
  <c r="O36" i="4"/>
  <c r="Q36" i="4"/>
  <c r="O37" i="4"/>
  <c r="P37" i="4"/>
  <c r="Q37" i="4"/>
  <c r="O38" i="4"/>
  <c r="Q38" i="4"/>
  <c r="O39" i="4"/>
  <c r="P39" i="4"/>
  <c r="Q39" i="4"/>
  <c r="O40" i="4"/>
  <c r="P40" i="4"/>
  <c r="Q40" i="4"/>
  <c r="O41" i="4"/>
  <c r="P41" i="4"/>
  <c r="Q41" i="4"/>
  <c r="O42" i="4"/>
  <c r="Q42" i="4"/>
  <c r="O43" i="4"/>
  <c r="P43" i="4"/>
  <c r="Q43" i="4"/>
  <c r="O44" i="4"/>
  <c r="Q44" i="4"/>
  <c r="O45" i="4"/>
  <c r="P45" i="4"/>
  <c r="Q45" i="4"/>
  <c r="O46" i="4"/>
  <c r="P46" i="4"/>
  <c r="Q46" i="4"/>
  <c r="O47" i="4"/>
  <c r="P47" i="4"/>
  <c r="Q47" i="4"/>
  <c r="O48" i="4"/>
  <c r="Q48" i="4"/>
  <c r="O49" i="4"/>
  <c r="P49" i="4"/>
  <c r="Q49" i="4"/>
  <c r="O50" i="4"/>
  <c r="Q50" i="4"/>
  <c r="O51" i="4"/>
  <c r="P51" i="4"/>
  <c r="Q51" i="4"/>
  <c r="O52" i="4"/>
  <c r="P52" i="4"/>
  <c r="Q52" i="4"/>
  <c r="O53" i="4"/>
  <c r="P53" i="4"/>
  <c r="Q53" i="4"/>
  <c r="O54" i="4"/>
  <c r="Q54" i="4"/>
  <c r="O55" i="4"/>
  <c r="P55" i="4"/>
  <c r="Q55" i="4"/>
  <c r="O56" i="4"/>
  <c r="Q56" i="4"/>
  <c r="O57" i="4"/>
  <c r="P57" i="4"/>
  <c r="Q57" i="4"/>
  <c r="O58" i="4"/>
  <c r="P58" i="4"/>
  <c r="Q58" i="4"/>
  <c r="O59" i="4"/>
  <c r="P59" i="4"/>
  <c r="Q59" i="4"/>
  <c r="O60" i="4"/>
  <c r="Q60" i="4"/>
  <c r="O61" i="4"/>
  <c r="P61" i="4"/>
  <c r="Q61" i="4"/>
  <c r="O62" i="4"/>
  <c r="Q62" i="4"/>
  <c r="O63" i="4"/>
  <c r="P63" i="4"/>
  <c r="Q63" i="4"/>
  <c r="O64" i="4"/>
  <c r="P64" i="4"/>
  <c r="Q64" i="4"/>
  <c r="O65" i="4"/>
  <c r="P65" i="4"/>
  <c r="Q65" i="4"/>
  <c r="O66" i="4"/>
  <c r="Q66" i="4"/>
  <c r="O67" i="4"/>
  <c r="P67" i="4"/>
  <c r="Q67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2" i="4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3" i="5"/>
  <c r="B4" i="5"/>
  <c r="C4" i="5" s="1"/>
  <c r="B5" i="5"/>
  <c r="C5" i="5" s="1"/>
  <c r="B6" i="5"/>
  <c r="C6" i="5" s="1"/>
  <c r="B7" i="5"/>
  <c r="C7" i="5" s="1"/>
  <c r="B8" i="5"/>
  <c r="C8" i="5" s="1"/>
  <c r="B9" i="5"/>
  <c r="C9" i="5" s="1"/>
  <c r="B10" i="5"/>
  <c r="C10" i="5" s="1"/>
  <c r="B11" i="5"/>
  <c r="C11" i="5" s="1"/>
  <c r="B12" i="5"/>
  <c r="C12" i="5" s="1"/>
  <c r="B13" i="5"/>
  <c r="C13" i="5" s="1"/>
  <c r="B14" i="5"/>
  <c r="C14" i="5" s="1"/>
  <c r="B15" i="5"/>
  <c r="C15" i="5" s="1"/>
  <c r="B16" i="5"/>
  <c r="C16" i="5" s="1"/>
  <c r="B17" i="5"/>
  <c r="C17" i="5" s="1"/>
  <c r="B18" i="5"/>
  <c r="C18" i="5" s="1"/>
  <c r="B19" i="5"/>
  <c r="C19" i="5" s="1"/>
  <c r="B20" i="5"/>
  <c r="C20" i="5" s="1"/>
  <c r="B21" i="5"/>
  <c r="C21" i="5" s="1"/>
  <c r="B22" i="5"/>
  <c r="C22" i="5" s="1"/>
  <c r="B23" i="5"/>
  <c r="C23" i="5" s="1"/>
  <c r="B24" i="5"/>
  <c r="C24" i="5" s="1"/>
  <c r="B25" i="5"/>
  <c r="C25" i="5" s="1"/>
  <c r="B26" i="5"/>
  <c r="C26" i="5" s="1"/>
  <c r="B27" i="5"/>
  <c r="C27" i="5" s="1"/>
  <c r="B28" i="5"/>
  <c r="C28" i="5" s="1"/>
  <c r="B29" i="5"/>
  <c r="C29" i="5" s="1"/>
  <c r="B30" i="5"/>
  <c r="C30" i="5" s="1"/>
  <c r="B31" i="5"/>
  <c r="C31" i="5" s="1"/>
  <c r="B32" i="5"/>
  <c r="C32" i="5" s="1"/>
  <c r="B33" i="5"/>
  <c r="C33" i="5" s="1"/>
  <c r="B34" i="5"/>
  <c r="C34" i="5" s="1"/>
  <c r="B35" i="5"/>
  <c r="C35" i="5" s="1"/>
  <c r="B36" i="5"/>
  <c r="C36" i="5" s="1"/>
  <c r="B37" i="5"/>
  <c r="C37" i="5" s="1"/>
  <c r="B38" i="5"/>
  <c r="C38" i="5" s="1"/>
  <c r="B39" i="5"/>
  <c r="C39" i="5" s="1"/>
  <c r="B40" i="5"/>
  <c r="C40" i="5" s="1"/>
  <c r="B41" i="5"/>
  <c r="C41" i="5" s="1"/>
  <c r="B42" i="5"/>
  <c r="C42" i="5" s="1"/>
  <c r="B43" i="5"/>
  <c r="C43" i="5" s="1"/>
  <c r="B44" i="5"/>
  <c r="C44" i="5" s="1"/>
  <c r="B45" i="5"/>
  <c r="C45" i="5" s="1"/>
  <c r="B46" i="5"/>
  <c r="C46" i="5" s="1"/>
  <c r="B47" i="5"/>
  <c r="C47" i="5" s="1"/>
  <c r="B48" i="5"/>
  <c r="C48" i="5" s="1"/>
  <c r="B49" i="5"/>
  <c r="C49" i="5" s="1"/>
  <c r="B50" i="5"/>
  <c r="C50" i="5" s="1"/>
  <c r="B51" i="5"/>
  <c r="C51" i="5" s="1"/>
  <c r="B52" i="5"/>
  <c r="C52" i="5" s="1"/>
  <c r="B53" i="5"/>
  <c r="C53" i="5" s="1"/>
  <c r="B54" i="5"/>
  <c r="C54" i="5" s="1"/>
  <c r="B55" i="5"/>
  <c r="C55" i="5" s="1"/>
  <c r="B56" i="5"/>
  <c r="C56" i="5" s="1"/>
  <c r="B57" i="5"/>
  <c r="C57" i="5" s="1"/>
  <c r="B58" i="5"/>
  <c r="C58" i="5" s="1"/>
  <c r="B59" i="5"/>
  <c r="C59" i="5" s="1"/>
  <c r="B60" i="5"/>
  <c r="C60" i="5" s="1"/>
  <c r="B61" i="5"/>
  <c r="C61" i="5" s="1"/>
  <c r="B62" i="5"/>
  <c r="C62" i="5" s="1"/>
  <c r="B63" i="5"/>
  <c r="C63" i="5" s="1"/>
  <c r="B64" i="5"/>
  <c r="C64" i="5" s="1"/>
  <c r="B65" i="5"/>
  <c r="C65" i="5" s="1"/>
  <c r="B66" i="5"/>
  <c r="C66" i="5" s="1"/>
  <c r="B67" i="5"/>
  <c r="C67" i="5" s="1"/>
  <c r="B68" i="5"/>
  <c r="C68" i="5" s="1"/>
  <c r="B3" i="5"/>
  <c r="C3" i="5" s="1"/>
  <c r="O3" i="3"/>
  <c r="O14" i="3"/>
  <c r="O20" i="3"/>
  <c r="O21" i="3"/>
  <c r="O22" i="3"/>
  <c r="O25" i="3"/>
  <c r="O26" i="3"/>
  <c r="O27" i="3"/>
  <c r="O28" i="3"/>
  <c r="O29" i="3"/>
  <c r="O30" i="3"/>
  <c r="O31" i="3"/>
  <c r="O32" i="3"/>
  <c r="O33" i="3"/>
  <c r="O34" i="3"/>
  <c r="O35" i="3"/>
  <c r="O2" i="3"/>
  <c r="M3" i="3"/>
  <c r="N3" i="3"/>
  <c r="M4" i="3"/>
  <c r="N4" i="3"/>
  <c r="M5" i="3"/>
  <c r="N5" i="3"/>
  <c r="O5" i="3" s="1"/>
  <c r="M6" i="3"/>
  <c r="N6" i="3"/>
  <c r="M7" i="3"/>
  <c r="O7" i="3" s="1"/>
  <c r="N7" i="3"/>
  <c r="M8" i="3"/>
  <c r="O8" i="3" s="1"/>
  <c r="N8" i="3"/>
  <c r="M9" i="3"/>
  <c r="N9" i="3"/>
  <c r="O9" i="3" s="1"/>
  <c r="M10" i="3"/>
  <c r="N10" i="3"/>
  <c r="O10" i="3" s="1"/>
  <c r="M11" i="3"/>
  <c r="O11" i="3" s="1"/>
  <c r="N11" i="3"/>
  <c r="M12" i="3"/>
  <c r="O12" i="3" s="1"/>
  <c r="N12" i="3"/>
  <c r="M13" i="3"/>
  <c r="N13" i="3"/>
  <c r="O13" i="3" s="1"/>
  <c r="M14" i="3"/>
  <c r="N14" i="3"/>
  <c r="M15" i="3"/>
  <c r="O15" i="3" s="1"/>
  <c r="N15" i="3"/>
  <c r="M16" i="3"/>
  <c r="O16" i="3" s="1"/>
  <c r="N16" i="3"/>
  <c r="M17" i="3"/>
  <c r="O17" i="3" s="1"/>
  <c r="N17" i="3"/>
  <c r="M18" i="3"/>
  <c r="N18" i="3"/>
  <c r="O18" i="3" s="1"/>
  <c r="M19" i="3"/>
  <c r="O19" i="3" s="1"/>
  <c r="N19" i="3"/>
  <c r="M20" i="3"/>
  <c r="N20" i="3"/>
  <c r="M21" i="3"/>
  <c r="N21" i="3"/>
  <c r="M22" i="3"/>
  <c r="N22" i="3"/>
  <c r="M23" i="3"/>
  <c r="N23" i="3"/>
  <c r="M24" i="3"/>
  <c r="N24" i="3"/>
  <c r="M25" i="3"/>
  <c r="N25" i="3"/>
  <c r="M26" i="3"/>
  <c r="N26" i="3"/>
  <c r="M27" i="3"/>
  <c r="N27" i="3"/>
  <c r="M28" i="3"/>
  <c r="N28" i="3"/>
  <c r="M29" i="3"/>
  <c r="N29" i="3"/>
  <c r="M30" i="3"/>
  <c r="N30" i="3"/>
  <c r="M31" i="3"/>
  <c r="N31" i="3"/>
  <c r="M32" i="3"/>
  <c r="N32" i="3"/>
  <c r="M33" i="3"/>
  <c r="N33" i="3"/>
  <c r="M34" i="3"/>
  <c r="N34" i="3"/>
  <c r="M35" i="3"/>
  <c r="N35" i="3"/>
  <c r="N2" i="3"/>
  <c r="M2" i="3"/>
  <c r="L3" i="3"/>
  <c r="L5" i="3"/>
  <c r="L10" i="3"/>
  <c r="L18" i="3"/>
  <c r="L20" i="3"/>
  <c r="L21" i="3"/>
  <c r="L25" i="3"/>
  <c r="L26" i="3"/>
  <c r="L27" i="3"/>
  <c r="L28" i="3"/>
  <c r="L29" i="3"/>
  <c r="L30" i="3"/>
  <c r="L31" i="3"/>
  <c r="L32" i="3"/>
  <c r="L33" i="3"/>
  <c r="L34" i="3"/>
  <c r="L35" i="3"/>
  <c r="K3" i="3"/>
  <c r="K4" i="3"/>
  <c r="K5" i="3"/>
  <c r="K6" i="3"/>
  <c r="L6" i="3" s="1"/>
  <c r="K7" i="3"/>
  <c r="K8" i="3"/>
  <c r="K9" i="3"/>
  <c r="K10" i="3"/>
  <c r="K11" i="3"/>
  <c r="L11" i="3" s="1"/>
  <c r="K12" i="3"/>
  <c r="K13" i="3"/>
  <c r="K14" i="3"/>
  <c r="K15" i="3"/>
  <c r="K16" i="3"/>
  <c r="L16" i="3" s="1"/>
  <c r="K17" i="3"/>
  <c r="L17" i="3" s="1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2" i="3"/>
  <c r="L2" i="3" s="1"/>
  <c r="J3" i="3"/>
  <c r="J4" i="3"/>
  <c r="J5" i="3"/>
  <c r="J6" i="3"/>
  <c r="J7" i="3"/>
  <c r="J8" i="3"/>
  <c r="L8" i="3" s="1"/>
  <c r="J9" i="3"/>
  <c r="J11" i="3"/>
  <c r="J12" i="3"/>
  <c r="J13" i="3"/>
  <c r="J15" i="3"/>
  <c r="L15" i="3" s="1"/>
  <c r="J17" i="3"/>
  <c r="J18" i="3"/>
  <c r="J19" i="3"/>
  <c r="L19" i="3" s="1"/>
  <c r="J20" i="3"/>
  <c r="J21" i="3"/>
  <c r="J22" i="3"/>
  <c r="L22" i="3" s="1"/>
  <c r="J23" i="3"/>
  <c r="J24" i="3"/>
  <c r="J25" i="3"/>
  <c r="J10" i="3"/>
  <c r="J14" i="3"/>
  <c r="L14" i="3" s="1"/>
  <c r="J16" i="3"/>
  <c r="J26" i="3"/>
  <c r="J27" i="3"/>
  <c r="J28" i="3"/>
  <c r="J29" i="3"/>
  <c r="J30" i="3"/>
  <c r="J31" i="3"/>
  <c r="J32" i="3"/>
  <c r="J33" i="3"/>
  <c r="J34" i="3"/>
  <c r="J35" i="3"/>
  <c r="J2" i="3"/>
  <c r="L4" i="3" l="1"/>
  <c r="O4" i="3"/>
  <c r="O23" i="3"/>
  <c r="O24" i="3"/>
  <c r="L7" i="3"/>
  <c r="O6" i="3"/>
  <c r="L9" i="3"/>
  <c r="L12" i="3"/>
  <c r="L23" i="3"/>
  <c r="L13" i="3"/>
  <c r="L24" i="3"/>
</calcChain>
</file>

<file path=xl/sharedStrings.xml><?xml version="1.0" encoding="utf-8"?>
<sst xmlns="http://schemas.openxmlformats.org/spreadsheetml/2006/main" count="260" uniqueCount="146">
  <si>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</si>
  <si>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</si>
  <si>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</si>
  <si>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</si>
  <si>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</si>
  <si>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</si>
  <si>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</si>
  <si>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</si>
  <si>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</si>
  <si>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</si>
  <si>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</si>
  <si>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</si>
  <si>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</si>
  <si>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</si>
  <si>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</si>
  <si>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</si>
  <si>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</si>
  <si>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</si>
  <si>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</si>
  <si>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</si>
  <si>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</si>
  <si>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</si>
  <si>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</si>
  <si>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</si>
  <si>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</si>
  <si>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</si>
  <si>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</si>
  <si>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</si>
  <si>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</si>
  <si>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</si>
  <si>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</si>
  <si>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</si>
  <si>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</si>
  <si>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</si>
  <si>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</si>
  <si>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</si>
  <si>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</si>
  <si>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</si>
  <si>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</si>
  <si>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</si>
  <si>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</si>
  <si>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</si>
  <si>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</si>
  <si>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</si>
  <si>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</si>
  <si>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</si>
  <si>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</si>
  <si>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</si>
  <si>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</si>
  <si>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</si>
  <si>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</si>
  <si>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</si>
  <si>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</si>
  <si>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</si>
  <si>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</si>
  <si>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Отлично</t>
  </si>
  <si>
    <t>Хорошо</t>
  </si>
  <si>
    <t>Нейтрально</t>
  </si>
  <si>
    <t>Плохо</t>
  </si>
  <si>
    <t>Ужасно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</si>
  <si>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</si>
  <si>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</si>
  <si>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</si>
  <si>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</si>
  <si>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</si>
  <si>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</si>
  <si>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</si>
  <si>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</si>
  <si>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</si>
  <si>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</si>
  <si>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</si>
  <si>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UEG6_DODO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</si>
  <si>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</si>
  <si>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</si>
  <si>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</si>
  <si>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</si>
  <si>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</si>
  <si>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</si>
  <si>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</si>
  <si>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</si>
  <si>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Пойдет</t>
  </si>
  <si>
    <t>Коррекция</t>
  </si>
  <si>
    <t>от 10</t>
  </si>
  <si>
    <t>от 1 до 3</t>
  </si>
  <si>
    <t>от 4 до 9</t>
  </si>
  <si>
    <t>PEG13_DWDDCr</t>
  </si>
  <si>
    <t>PEG26_UNKNOWN</t>
  </si>
  <si>
    <t>PEG4_UNIVERSAL</t>
  </si>
  <si>
    <t>Сумма</t>
  </si>
  <si>
    <t>Кол-во</t>
  </si>
  <si>
    <t>Среднее</t>
  </si>
  <si>
    <t>Прибыль</t>
  </si>
  <si>
    <t>Убыток</t>
  </si>
  <si>
    <t>П%</t>
  </si>
  <si>
    <t>LEG2_HOTS</t>
  </si>
  <si>
    <t>LEG2_LOGAN</t>
  </si>
  <si>
    <t>WEG4_DOG</t>
  </si>
  <si>
    <t>UEG2_GGD</t>
  </si>
  <si>
    <t>PEG20_HOGGER</t>
  </si>
  <si>
    <t>LEG1_OKROSHKA</t>
  </si>
  <si>
    <t>LEG1_BORSCH</t>
  </si>
  <si>
    <t>LEG1_PHOBO</t>
  </si>
  <si>
    <t>LEG2_ALKASH</t>
  </si>
  <si>
    <t>LEG2_MONSTER</t>
  </si>
  <si>
    <t>WEG7_PARADOX</t>
  </si>
  <si>
    <t>UEG2_GOOSE</t>
  </si>
  <si>
    <t>UEG2_DUCK</t>
  </si>
  <si>
    <t>UEG6_DUELDODO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</si>
  <si>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</si>
  <si>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</si>
  <si>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</si>
  <si>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</si>
  <si>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</si>
  <si>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</si>
  <si>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</si>
  <si>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</si>
  <si>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</si>
  <si>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PEG2_SDDCr</t>
  </si>
  <si>
    <t>PEG8_DOBBY</t>
  </si>
  <si>
    <t>PEG8_LOBSTER</t>
  </si>
  <si>
    <t>PEG14_RWDDCr</t>
  </si>
  <si>
    <t>PEG14_RANGER</t>
  </si>
  <si>
    <t>PEG15_ANNA</t>
  </si>
  <si>
    <t>PEG15_SILVANA</t>
  </si>
  <si>
    <t>PEG18_UTER</t>
  </si>
  <si>
    <t>SEG1_LITE</t>
  </si>
  <si>
    <t>PEG18_REXXAR2</t>
  </si>
  <si>
    <t>PEG18_UTER2</t>
  </si>
  <si>
    <t>PEG18_DIABLO2</t>
  </si>
  <si>
    <t>PEG18_VARIAN2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</si>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</sst>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164" fontId="0" fillId="0" borderId="0" xfId="0" applyNumberFormat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10" borderId="2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B6" sqref="B6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s="3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F1F35-A707-4D30-9F4E-850918EC1F71}">
  <dimension ref="B1:V111"/>
  <sheetViews>
    <sheetView workbookViewId="0">
      <selection activeCell="S28" sqref="S28"/>
    </sheetView>
  </sheetViews>
  <sheetFormatPr defaultRowHeight="15" x14ac:dyDescent="0.25"/>
  <cols>
    <col min="2" max="2" width="20.28515625" customWidth="1"/>
    <col min="6" max="7" width="12.5703125" customWidth="1"/>
  </cols>
  <sheetData>
    <row r="1" spans="2:22" x14ac:dyDescent="0.25">
      <c r="C1" s="3" t="s">
        <v>55</v>
      </c>
      <c r="D1" s="4" t="s">
        <v>56</v>
      </c>
      <c r="E1" s="5" t="s">
        <v>80</v>
      </c>
      <c r="F1" s="8" t="s">
        <v>57</v>
      </c>
      <c r="G1" s="7" t="s">
        <v>81</v>
      </c>
      <c r="H1" s="6" t="s">
        <v>58</v>
      </c>
      <c r="I1" s="9" t="s">
        <v>59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</row>
    <row r="2" spans="2:22" x14ac:dyDescent="0.25">
      <c r="B2" t="s">
        <v>74</v>
      </c>
      <c r="D2">
        <v>1</v>
      </c>
      <c r="E2">
        <v>2</v>
      </c>
      <c r="J2">
        <f t="shared" ref="J2:J25" si="0">C2*10+D2*5+E2-G2-H2*5-I2*10</f>
        <v>7</v>
      </c>
      <c r="K2">
        <f>SUM(C2:I2)</f>
        <v>3</v>
      </c>
      <c r="L2" s="10">
        <f>J2/K2</f>
        <v>2.3333333333333335</v>
      </c>
      <c r="M2">
        <f>SUM(C2:E2)</f>
        <v>3</v>
      </c>
      <c r="N2">
        <f>SUM(G2:I2)</f>
        <v>0</v>
      </c>
      <c r="O2" s="11">
        <f>(M2/(M2+N2))*100</f>
        <v>100</v>
      </c>
      <c r="U2" t="s">
        <v>83</v>
      </c>
      <c r="V2" t="s">
        <v>80</v>
      </c>
    </row>
    <row r="3" spans="2:22" x14ac:dyDescent="0.25">
      <c r="B3" t="s">
        <v>77</v>
      </c>
      <c r="H3">
        <v>1</v>
      </c>
      <c r="J3">
        <f t="shared" si="0"/>
        <v>-5</v>
      </c>
      <c r="K3">
        <f t="shared" ref="K3:K35" si="1">SUM(C3:I3)</f>
        <v>1</v>
      </c>
      <c r="L3" s="10">
        <f t="shared" ref="L3:L35" si="2">J3/K3</f>
        <v>-5</v>
      </c>
      <c r="M3">
        <f t="shared" ref="M3:M35" si="3">SUM(C3:E3)</f>
        <v>0</v>
      </c>
      <c r="N3">
        <f t="shared" ref="N3:N35" si="4">SUM(G3:I3)</f>
        <v>1</v>
      </c>
      <c r="O3" s="11">
        <f t="shared" ref="O3:O35" si="5">(M3/(M3+N3))*100</f>
        <v>0</v>
      </c>
      <c r="U3" t="s">
        <v>84</v>
      </c>
      <c r="V3" t="s">
        <v>56</v>
      </c>
    </row>
    <row r="4" spans="2:22" x14ac:dyDescent="0.25">
      <c r="B4" t="s">
        <v>72</v>
      </c>
      <c r="C4">
        <v>2</v>
      </c>
      <c r="D4">
        <v>2</v>
      </c>
      <c r="G4">
        <v>1</v>
      </c>
      <c r="J4">
        <f t="shared" si="0"/>
        <v>29</v>
      </c>
      <c r="K4">
        <f t="shared" si="1"/>
        <v>5</v>
      </c>
      <c r="L4" s="10">
        <f t="shared" si="2"/>
        <v>5.8</v>
      </c>
      <c r="M4">
        <f t="shared" si="3"/>
        <v>4</v>
      </c>
      <c r="N4">
        <f t="shared" si="4"/>
        <v>1</v>
      </c>
      <c r="O4" s="11">
        <f t="shared" si="5"/>
        <v>80</v>
      </c>
      <c r="U4" t="s">
        <v>82</v>
      </c>
      <c r="V4" t="s">
        <v>55</v>
      </c>
    </row>
    <row r="5" spans="2:22" x14ac:dyDescent="0.25">
      <c r="B5" t="s">
        <v>76</v>
      </c>
      <c r="E5">
        <v>1</v>
      </c>
      <c r="G5">
        <v>1</v>
      </c>
      <c r="I5">
        <v>1</v>
      </c>
      <c r="J5">
        <f t="shared" si="0"/>
        <v>-10</v>
      </c>
      <c r="K5">
        <f t="shared" si="1"/>
        <v>3</v>
      </c>
      <c r="L5" s="10">
        <f t="shared" si="2"/>
        <v>-3.3333333333333335</v>
      </c>
      <c r="M5">
        <f t="shared" si="3"/>
        <v>1</v>
      </c>
      <c r="N5">
        <f t="shared" si="4"/>
        <v>2</v>
      </c>
      <c r="O5" s="11">
        <f t="shared" si="5"/>
        <v>33.333333333333329</v>
      </c>
    </row>
    <row r="6" spans="2:22" x14ac:dyDescent="0.25">
      <c r="B6" t="s">
        <v>60</v>
      </c>
      <c r="C6">
        <v>3</v>
      </c>
      <c r="D6">
        <v>3</v>
      </c>
      <c r="F6">
        <v>2</v>
      </c>
      <c r="H6">
        <v>1</v>
      </c>
      <c r="J6">
        <f t="shared" si="0"/>
        <v>40</v>
      </c>
      <c r="K6">
        <f t="shared" si="1"/>
        <v>9</v>
      </c>
      <c r="L6" s="10">
        <f t="shared" si="2"/>
        <v>4.4444444444444446</v>
      </c>
      <c r="M6">
        <f t="shared" si="3"/>
        <v>6</v>
      </c>
      <c r="N6">
        <f t="shared" si="4"/>
        <v>1</v>
      </c>
      <c r="O6" s="11">
        <f t="shared" si="5"/>
        <v>85.714285714285708</v>
      </c>
    </row>
    <row r="7" spans="2:22" x14ac:dyDescent="0.25">
      <c r="B7" t="s">
        <v>67</v>
      </c>
      <c r="D7">
        <v>1</v>
      </c>
      <c r="E7">
        <v>4</v>
      </c>
      <c r="G7">
        <v>3</v>
      </c>
      <c r="J7">
        <f t="shared" si="0"/>
        <v>6</v>
      </c>
      <c r="K7">
        <f t="shared" si="1"/>
        <v>8</v>
      </c>
      <c r="L7" s="10">
        <f t="shared" si="2"/>
        <v>0.75</v>
      </c>
      <c r="M7">
        <f t="shared" si="3"/>
        <v>5</v>
      </c>
      <c r="N7">
        <f t="shared" si="4"/>
        <v>3</v>
      </c>
      <c r="O7" s="11">
        <f t="shared" si="5"/>
        <v>62.5</v>
      </c>
    </row>
    <row r="8" spans="2:22" x14ac:dyDescent="0.25">
      <c r="B8" t="s">
        <v>65</v>
      </c>
      <c r="E8">
        <v>3</v>
      </c>
      <c r="F8">
        <v>1</v>
      </c>
      <c r="G8">
        <v>2</v>
      </c>
      <c r="H8">
        <v>1</v>
      </c>
      <c r="I8">
        <v>1</v>
      </c>
      <c r="J8">
        <f t="shared" si="0"/>
        <v>-14</v>
      </c>
      <c r="K8">
        <f t="shared" si="1"/>
        <v>8</v>
      </c>
      <c r="L8" s="10">
        <f t="shared" si="2"/>
        <v>-1.75</v>
      </c>
      <c r="M8">
        <f t="shared" si="3"/>
        <v>3</v>
      </c>
      <c r="N8">
        <f t="shared" si="4"/>
        <v>4</v>
      </c>
      <c r="O8" s="11">
        <f t="shared" si="5"/>
        <v>42.857142857142854</v>
      </c>
    </row>
    <row r="9" spans="2:22" x14ac:dyDescent="0.25">
      <c r="B9" t="s">
        <v>69</v>
      </c>
      <c r="D9">
        <v>6</v>
      </c>
      <c r="E9">
        <v>2</v>
      </c>
      <c r="F9">
        <v>2</v>
      </c>
      <c r="G9">
        <v>9</v>
      </c>
      <c r="H9">
        <v>1</v>
      </c>
      <c r="I9">
        <v>1</v>
      </c>
      <c r="J9">
        <f t="shared" si="0"/>
        <v>8</v>
      </c>
      <c r="K9">
        <f t="shared" si="1"/>
        <v>21</v>
      </c>
      <c r="L9" s="10">
        <f t="shared" si="2"/>
        <v>0.38095238095238093</v>
      </c>
      <c r="M9">
        <f t="shared" si="3"/>
        <v>8</v>
      </c>
      <c r="N9">
        <f t="shared" si="4"/>
        <v>11</v>
      </c>
      <c r="O9" s="11">
        <f t="shared" si="5"/>
        <v>42.105263157894733</v>
      </c>
    </row>
    <row r="10" spans="2:22" x14ac:dyDescent="0.25">
      <c r="B10" t="s">
        <v>85</v>
      </c>
      <c r="E10">
        <v>1</v>
      </c>
      <c r="G10">
        <v>1</v>
      </c>
      <c r="J10">
        <f t="shared" si="0"/>
        <v>0</v>
      </c>
      <c r="K10">
        <f t="shared" si="1"/>
        <v>2</v>
      </c>
      <c r="L10" s="10">
        <f t="shared" si="2"/>
        <v>0</v>
      </c>
      <c r="M10">
        <f t="shared" si="3"/>
        <v>1</v>
      </c>
      <c r="N10">
        <f t="shared" si="4"/>
        <v>1</v>
      </c>
      <c r="O10" s="11">
        <f t="shared" si="5"/>
        <v>50</v>
      </c>
    </row>
    <row r="11" spans="2:22" x14ac:dyDescent="0.25">
      <c r="B11" t="s">
        <v>66</v>
      </c>
      <c r="D11">
        <v>1</v>
      </c>
      <c r="E11">
        <v>1</v>
      </c>
      <c r="F11">
        <v>2</v>
      </c>
      <c r="G11">
        <v>1</v>
      </c>
      <c r="I11">
        <v>2</v>
      </c>
      <c r="J11">
        <f t="shared" si="0"/>
        <v>-15</v>
      </c>
      <c r="K11">
        <f t="shared" si="1"/>
        <v>7</v>
      </c>
      <c r="L11" s="10">
        <f t="shared" si="2"/>
        <v>-2.1428571428571428</v>
      </c>
      <c r="M11">
        <f t="shared" si="3"/>
        <v>2</v>
      </c>
      <c r="N11">
        <f t="shared" si="4"/>
        <v>3</v>
      </c>
      <c r="O11" s="11">
        <f t="shared" si="5"/>
        <v>40</v>
      </c>
    </row>
    <row r="12" spans="2:22" x14ac:dyDescent="0.25">
      <c r="B12" t="s">
        <v>70</v>
      </c>
      <c r="C12">
        <v>4</v>
      </c>
      <c r="E12">
        <v>3</v>
      </c>
      <c r="J12">
        <f t="shared" si="0"/>
        <v>43</v>
      </c>
      <c r="K12">
        <f t="shared" si="1"/>
        <v>7</v>
      </c>
      <c r="L12" s="10">
        <f t="shared" si="2"/>
        <v>6.1428571428571432</v>
      </c>
      <c r="M12">
        <f t="shared" si="3"/>
        <v>7</v>
      </c>
      <c r="N12">
        <f t="shared" si="4"/>
        <v>0</v>
      </c>
      <c r="O12" s="11">
        <f t="shared" si="5"/>
        <v>100</v>
      </c>
    </row>
    <row r="13" spans="2:22" x14ac:dyDescent="0.25">
      <c r="B13" t="s">
        <v>64</v>
      </c>
      <c r="D13">
        <v>2</v>
      </c>
      <c r="E13">
        <v>1</v>
      </c>
      <c r="F13">
        <v>1</v>
      </c>
      <c r="G13">
        <v>3</v>
      </c>
      <c r="H13">
        <v>1</v>
      </c>
      <c r="I13">
        <v>3</v>
      </c>
      <c r="J13">
        <f t="shared" si="0"/>
        <v>-27</v>
      </c>
      <c r="K13">
        <f t="shared" si="1"/>
        <v>11</v>
      </c>
      <c r="L13" s="10">
        <f t="shared" si="2"/>
        <v>-2.4545454545454546</v>
      </c>
      <c r="M13">
        <f t="shared" si="3"/>
        <v>3</v>
      </c>
      <c r="N13">
        <f t="shared" si="4"/>
        <v>7</v>
      </c>
      <c r="O13" s="11">
        <f t="shared" si="5"/>
        <v>30</v>
      </c>
    </row>
    <row r="14" spans="2:22" x14ac:dyDescent="0.25">
      <c r="B14" t="s">
        <v>86</v>
      </c>
      <c r="E14">
        <v>1</v>
      </c>
      <c r="G14">
        <v>1</v>
      </c>
      <c r="J14">
        <f t="shared" si="0"/>
        <v>0</v>
      </c>
      <c r="K14">
        <f t="shared" si="1"/>
        <v>2</v>
      </c>
      <c r="L14" s="10">
        <f t="shared" si="2"/>
        <v>0</v>
      </c>
      <c r="M14">
        <f t="shared" si="3"/>
        <v>1</v>
      </c>
      <c r="N14">
        <f t="shared" si="4"/>
        <v>1</v>
      </c>
      <c r="O14" s="11">
        <f t="shared" si="5"/>
        <v>50</v>
      </c>
    </row>
    <row r="15" spans="2:22" x14ac:dyDescent="0.25">
      <c r="B15" t="s">
        <v>68</v>
      </c>
      <c r="E15">
        <v>4</v>
      </c>
      <c r="J15">
        <f t="shared" si="0"/>
        <v>4</v>
      </c>
      <c r="K15">
        <f t="shared" si="1"/>
        <v>4</v>
      </c>
      <c r="L15" s="10">
        <f t="shared" si="2"/>
        <v>1</v>
      </c>
      <c r="M15">
        <f t="shared" si="3"/>
        <v>4</v>
      </c>
      <c r="N15">
        <f t="shared" si="4"/>
        <v>0</v>
      </c>
      <c r="O15" s="11">
        <f t="shared" si="5"/>
        <v>100</v>
      </c>
    </row>
    <row r="16" spans="2:22" x14ac:dyDescent="0.25">
      <c r="B16" t="s">
        <v>87</v>
      </c>
      <c r="E16">
        <v>1</v>
      </c>
      <c r="G16">
        <v>1</v>
      </c>
      <c r="J16">
        <f t="shared" si="0"/>
        <v>0</v>
      </c>
      <c r="K16">
        <f t="shared" si="1"/>
        <v>2</v>
      </c>
      <c r="L16" s="10">
        <f t="shared" si="2"/>
        <v>0</v>
      </c>
      <c r="M16">
        <f t="shared" si="3"/>
        <v>1</v>
      </c>
      <c r="N16">
        <f t="shared" si="4"/>
        <v>1</v>
      </c>
      <c r="O16" s="11">
        <f t="shared" si="5"/>
        <v>50</v>
      </c>
    </row>
    <row r="17" spans="2:15" x14ac:dyDescent="0.25">
      <c r="B17" t="s">
        <v>79</v>
      </c>
      <c r="D17">
        <v>3</v>
      </c>
      <c r="E17">
        <v>1</v>
      </c>
      <c r="F17">
        <v>1</v>
      </c>
      <c r="J17">
        <f t="shared" si="0"/>
        <v>16</v>
      </c>
      <c r="K17">
        <f t="shared" si="1"/>
        <v>5</v>
      </c>
      <c r="L17" s="10">
        <f t="shared" si="2"/>
        <v>3.2</v>
      </c>
      <c r="M17">
        <f t="shared" si="3"/>
        <v>4</v>
      </c>
      <c r="N17">
        <f t="shared" si="4"/>
        <v>0</v>
      </c>
      <c r="O17" s="11">
        <f t="shared" si="5"/>
        <v>100</v>
      </c>
    </row>
    <row r="18" spans="2:15" x14ac:dyDescent="0.25">
      <c r="B18" t="s">
        <v>54</v>
      </c>
      <c r="G18">
        <v>1</v>
      </c>
      <c r="H18">
        <v>2</v>
      </c>
      <c r="J18">
        <f t="shared" si="0"/>
        <v>-11</v>
      </c>
      <c r="K18">
        <f t="shared" si="1"/>
        <v>3</v>
      </c>
      <c r="L18" s="10">
        <f t="shared" si="2"/>
        <v>-3.6666666666666665</v>
      </c>
      <c r="M18">
        <f t="shared" si="3"/>
        <v>0</v>
      </c>
      <c r="N18">
        <f t="shared" si="4"/>
        <v>3</v>
      </c>
      <c r="O18" s="11">
        <f t="shared" si="5"/>
        <v>0</v>
      </c>
    </row>
    <row r="19" spans="2:15" x14ac:dyDescent="0.25">
      <c r="B19" t="s">
        <v>75</v>
      </c>
      <c r="D19">
        <v>1</v>
      </c>
      <c r="E19">
        <v>1</v>
      </c>
      <c r="F19">
        <v>1</v>
      </c>
      <c r="H19">
        <v>2</v>
      </c>
      <c r="J19">
        <f t="shared" si="0"/>
        <v>-4</v>
      </c>
      <c r="K19">
        <f t="shared" si="1"/>
        <v>5</v>
      </c>
      <c r="L19" s="10">
        <f t="shared" si="2"/>
        <v>-0.8</v>
      </c>
      <c r="M19">
        <f t="shared" si="3"/>
        <v>2</v>
      </c>
      <c r="N19">
        <f t="shared" si="4"/>
        <v>2</v>
      </c>
      <c r="O19" s="11">
        <f t="shared" si="5"/>
        <v>50</v>
      </c>
    </row>
    <row r="20" spans="2:15" x14ac:dyDescent="0.25">
      <c r="B20" t="s">
        <v>71</v>
      </c>
      <c r="H20">
        <v>1</v>
      </c>
      <c r="I20">
        <v>1</v>
      </c>
      <c r="J20">
        <f t="shared" si="0"/>
        <v>-15</v>
      </c>
      <c r="K20">
        <f t="shared" si="1"/>
        <v>2</v>
      </c>
      <c r="L20" s="10">
        <f t="shared" si="2"/>
        <v>-7.5</v>
      </c>
      <c r="M20">
        <f t="shared" si="3"/>
        <v>0</v>
      </c>
      <c r="N20">
        <f t="shared" si="4"/>
        <v>2</v>
      </c>
      <c r="O20" s="11">
        <f t="shared" si="5"/>
        <v>0</v>
      </c>
    </row>
    <row r="21" spans="2:15" x14ac:dyDescent="0.25">
      <c r="B21" t="s">
        <v>78</v>
      </c>
      <c r="H21">
        <v>1</v>
      </c>
      <c r="J21">
        <f t="shared" si="0"/>
        <v>-5</v>
      </c>
      <c r="K21">
        <f t="shared" si="1"/>
        <v>1</v>
      </c>
      <c r="L21" s="10">
        <f t="shared" si="2"/>
        <v>-5</v>
      </c>
      <c r="M21">
        <f t="shared" si="3"/>
        <v>0</v>
      </c>
      <c r="N21">
        <f t="shared" si="4"/>
        <v>1</v>
      </c>
      <c r="O21" s="11">
        <f t="shared" si="5"/>
        <v>0</v>
      </c>
    </row>
    <row r="22" spans="2:15" x14ac:dyDescent="0.25">
      <c r="B22" t="s">
        <v>73</v>
      </c>
      <c r="F22">
        <v>1</v>
      </c>
      <c r="G22">
        <v>1</v>
      </c>
      <c r="H22">
        <v>1</v>
      </c>
      <c r="J22">
        <f t="shared" si="0"/>
        <v>-6</v>
      </c>
      <c r="K22">
        <f t="shared" si="1"/>
        <v>3</v>
      </c>
      <c r="L22" s="10">
        <f t="shared" si="2"/>
        <v>-2</v>
      </c>
      <c r="M22">
        <f t="shared" si="3"/>
        <v>0</v>
      </c>
      <c r="N22">
        <f t="shared" si="4"/>
        <v>2</v>
      </c>
      <c r="O22" s="11">
        <f t="shared" si="5"/>
        <v>0</v>
      </c>
    </row>
    <row r="23" spans="2:15" x14ac:dyDescent="0.25">
      <c r="B23" t="s">
        <v>62</v>
      </c>
      <c r="C23">
        <v>2</v>
      </c>
      <c r="D23">
        <v>2</v>
      </c>
      <c r="E23">
        <v>4</v>
      </c>
      <c r="G23">
        <v>2</v>
      </c>
      <c r="H23">
        <v>3</v>
      </c>
      <c r="I23">
        <v>2</v>
      </c>
      <c r="J23">
        <f t="shared" si="0"/>
        <v>-3</v>
      </c>
      <c r="K23">
        <f t="shared" si="1"/>
        <v>15</v>
      </c>
      <c r="L23" s="10">
        <f t="shared" si="2"/>
        <v>-0.2</v>
      </c>
      <c r="M23">
        <f t="shared" si="3"/>
        <v>8</v>
      </c>
      <c r="N23">
        <f t="shared" si="4"/>
        <v>7</v>
      </c>
      <c r="O23" s="11">
        <f t="shared" si="5"/>
        <v>53.333333333333336</v>
      </c>
    </row>
    <row r="24" spans="2:15" x14ac:dyDescent="0.25">
      <c r="B24" t="s">
        <v>61</v>
      </c>
      <c r="C24">
        <v>1</v>
      </c>
      <c r="D24">
        <v>3</v>
      </c>
      <c r="E24">
        <v>8</v>
      </c>
      <c r="F24">
        <v>1</v>
      </c>
      <c r="G24">
        <v>3</v>
      </c>
      <c r="H24">
        <v>2</v>
      </c>
      <c r="J24">
        <f t="shared" si="0"/>
        <v>20</v>
      </c>
      <c r="K24">
        <f t="shared" si="1"/>
        <v>18</v>
      </c>
      <c r="L24" s="10">
        <f t="shared" si="2"/>
        <v>1.1111111111111112</v>
      </c>
      <c r="M24">
        <f t="shared" si="3"/>
        <v>12</v>
      </c>
      <c r="N24">
        <f t="shared" si="4"/>
        <v>5</v>
      </c>
      <c r="O24" s="11">
        <f t="shared" si="5"/>
        <v>70.588235294117652</v>
      </c>
    </row>
    <row r="25" spans="2:15" x14ac:dyDescent="0.25">
      <c r="B25" t="s">
        <v>63</v>
      </c>
      <c r="C25">
        <v>1</v>
      </c>
      <c r="D25">
        <v>3</v>
      </c>
      <c r="E25">
        <v>1</v>
      </c>
      <c r="F25">
        <v>2</v>
      </c>
      <c r="H25">
        <v>1</v>
      </c>
      <c r="J25">
        <f t="shared" si="0"/>
        <v>21</v>
      </c>
      <c r="K25">
        <f t="shared" si="1"/>
        <v>8</v>
      </c>
      <c r="L25" s="10">
        <f t="shared" si="2"/>
        <v>2.625</v>
      </c>
      <c r="M25">
        <f t="shared" si="3"/>
        <v>5</v>
      </c>
      <c r="N25">
        <f t="shared" si="4"/>
        <v>1</v>
      </c>
      <c r="O25" s="11">
        <f t="shared" si="5"/>
        <v>83.333333333333343</v>
      </c>
    </row>
    <row r="26" spans="2:15" x14ac:dyDescent="0.25">
      <c r="J26">
        <f t="shared" ref="J26:J35" si="6">C26*10+D26*5+E26-G26-H26*5-I26*10</f>
        <v>0</v>
      </c>
      <c r="K26">
        <f t="shared" si="1"/>
        <v>0</v>
      </c>
      <c r="L26" s="10" t="e">
        <f t="shared" si="2"/>
        <v>#DIV/0!</v>
      </c>
      <c r="M26">
        <f t="shared" si="3"/>
        <v>0</v>
      </c>
      <c r="N26">
        <f t="shared" si="4"/>
        <v>0</v>
      </c>
      <c r="O26" s="11" t="e">
        <f t="shared" si="5"/>
        <v>#DIV/0!</v>
      </c>
    </row>
    <row r="27" spans="2:15" x14ac:dyDescent="0.25">
      <c r="J27">
        <f t="shared" si="6"/>
        <v>0</v>
      </c>
      <c r="K27">
        <f t="shared" si="1"/>
        <v>0</v>
      </c>
      <c r="L27" s="10" t="e">
        <f t="shared" si="2"/>
        <v>#DIV/0!</v>
      </c>
      <c r="M27">
        <f t="shared" si="3"/>
        <v>0</v>
      </c>
      <c r="N27">
        <f t="shared" si="4"/>
        <v>0</v>
      </c>
      <c r="O27" s="11" t="e">
        <f t="shared" si="5"/>
        <v>#DIV/0!</v>
      </c>
    </row>
    <row r="28" spans="2:15" x14ac:dyDescent="0.25">
      <c r="J28">
        <f t="shared" si="6"/>
        <v>0</v>
      </c>
      <c r="K28">
        <f t="shared" si="1"/>
        <v>0</v>
      </c>
      <c r="L28" s="10" t="e">
        <f t="shared" si="2"/>
        <v>#DIV/0!</v>
      </c>
      <c r="M28">
        <f t="shared" si="3"/>
        <v>0</v>
      </c>
      <c r="N28">
        <f t="shared" si="4"/>
        <v>0</v>
      </c>
      <c r="O28" s="11" t="e">
        <f t="shared" si="5"/>
        <v>#DIV/0!</v>
      </c>
    </row>
    <row r="29" spans="2:15" x14ac:dyDescent="0.25">
      <c r="J29">
        <f t="shared" si="6"/>
        <v>0</v>
      </c>
      <c r="K29">
        <f t="shared" si="1"/>
        <v>0</v>
      </c>
      <c r="L29" s="10" t="e">
        <f t="shared" si="2"/>
        <v>#DIV/0!</v>
      </c>
      <c r="M29">
        <f t="shared" si="3"/>
        <v>0</v>
      </c>
      <c r="N29">
        <f t="shared" si="4"/>
        <v>0</v>
      </c>
      <c r="O29" s="11" t="e">
        <f t="shared" si="5"/>
        <v>#DIV/0!</v>
      </c>
    </row>
    <row r="30" spans="2:15" x14ac:dyDescent="0.25">
      <c r="J30">
        <f t="shared" si="6"/>
        <v>0</v>
      </c>
      <c r="K30">
        <f t="shared" si="1"/>
        <v>0</v>
      </c>
      <c r="L30" s="10" t="e">
        <f t="shared" si="2"/>
        <v>#DIV/0!</v>
      </c>
      <c r="M30">
        <f t="shared" si="3"/>
        <v>0</v>
      </c>
      <c r="N30">
        <f t="shared" si="4"/>
        <v>0</v>
      </c>
      <c r="O30" s="11" t="e">
        <f t="shared" si="5"/>
        <v>#DIV/0!</v>
      </c>
    </row>
    <row r="31" spans="2:15" x14ac:dyDescent="0.25">
      <c r="J31">
        <f t="shared" si="6"/>
        <v>0</v>
      </c>
      <c r="K31">
        <f t="shared" si="1"/>
        <v>0</v>
      </c>
      <c r="L31" s="10" t="e">
        <f t="shared" si="2"/>
        <v>#DIV/0!</v>
      </c>
      <c r="M31">
        <f t="shared" si="3"/>
        <v>0</v>
      </c>
      <c r="N31">
        <f t="shared" si="4"/>
        <v>0</v>
      </c>
      <c r="O31" s="11" t="e">
        <f t="shared" si="5"/>
        <v>#DIV/0!</v>
      </c>
    </row>
    <row r="32" spans="2:15" x14ac:dyDescent="0.25">
      <c r="J32">
        <f t="shared" si="6"/>
        <v>0</v>
      </c>
      <c r="K32">
        <f t="shared" si="1"/>
        <v>0</v>
      </c>
      <c r="L32" s="10" t="e">
        <f t="shared" si="2"/>
        <v>#DIV/0!</v>
      </c>
      <c r="M32">
        <f t="shared" si="3"/>
        <v>0</v>
      </c>
      <c r="N32">
        <f t="shared" si="4"/>
        <v>0</v>
      </c>
      <c r="O32" s="11" t="e">
        <f t="shared" si="5"/>
        <v>#DIV/0!</v>
      </c>
    </row>
    <row r="33" spans="10:15" x14ac:dyDescent="0.25">
      <c r="J33">
        <f t="shared" si="6"/>
        <v>0</v>
      </c>
      <c r="K33">
        <f t="shared" si="1"/>
        <v>0</v>
      </c>
      <c r="L33" s="10" t="e">
        <f t="shared" si="2"/>
        <v>#DIV/0!</v>
      </c>
      <c r="M33">
        <f t="shared" si="3"/>
        <v>0</v>
      </c>
      <c r="N33">
        <f t="shared" si="4"/>
        <v>0</v>
      </c>
      <c r="O33" s="11" t="e">
        <f t="shared" si="5"/>
        <v>#DIV/0!</v>
      </c>
    </row>
    <row r="34" spans="10:15" x14ac:dyDescent="0.25">
      <c r="J34">
        <f t="shared" si="6"/>
        <v>0</v>
      </c>
      <c r="K34">
        <f t="shared" si="1"/>
        <v>0</v>
      </c>
      <c r="L34" s="10" t="e">
        <f t="shared" si="2"/>
        <v>#DIV/0!</v>
      </c>
      <c r="M34">
        <f t="shared" si="3"/>
        <v>0</v>
      </c>
      <c r="N34">
        <f t="shared" si="4"/>
        <v>0</v>
      </c>
      <c r="O34" s="11" t="e">
        <f t="shared" si="5"/>
        <v>#DIV/0!</v>
      </c>
    </row>
    <row r="35" spans="10:15" x14ac:dyDescent="0.25">
      <c r="J35">
        <f t="shared" si="6"/>
        <v>0</v>
      </c>
      <c r="K35">
        <f t="shared" si="1"/>
        <v>0</v>
      </c>
      <c r="L35" s="10" t="e">
        <f t="shared" si="2"/>
        <v>#DIV/0!</v>
      </c>
      <c r="M35">
        <f t="shared" si="3"/>
        <v>0</v>
      </c>
      <c r="N35">
        <f t="shared" si="4"/>
        <v>0</v>
      </c>
      <c r="O35" s="11" t="e">
        <f t="shared" si="5"/>
        <v>#DIV/0!</v>
      </c>
    </row>
    <row r="36" spans="10:15" x14ac:dyDescent="0.25">
      <c r="O36" s="11"/>
    </row>
    <row r="37" spans="10:15" x14ac:dyDescent="0.25">
      <c r="O37" s="11"/>
    </row>
    <row r="38" spans="10:15" x14ac:dyDescent="0.25">
      <c r="O38" s="11"/>
    </row>
    <row r="39" spans="10:15" x14ac:dyDescent="0.25">
      <c r="O39" s="11"/>
    </row>
    <row r="40" spans="10:15" x14ac:dyDescent="0.25">
      <c r="O40" s="11"/>
    </row>
    <row r="41" spans="10:15" x14ac:dyDescent="0.25">
      <c r="O41" s="11"/>
    </row>
    <row r="42" spans="10:15" x14ac:dyDescent="0.25">
      <c r="O42" s="11"/>
    </row>
    <row r="43" spans="10:15" x14ac:dyDescent="0.25">
      <c r="O43" s="11"/>
    </row>
    <row r="44" spans="10:15" x14ac:dyDescent="0.25">
      <c r="O44" s="11"/>
    </row>
    <row r="45" spans="10:15" x14ac:dyDescent="0.25">
      <c r="O45" s="11"/>
    </row>
    <row r="46" spans="10:15" x14ac:dyDescent="0.25">
      <c r="O46" s="11"/>
    </row>
    <row r="47" spans="10:15" x14ac:dyDescent="0.25">
      <c r="O47" s="11"/>
    </row>
    <row r="48" spans="10:15" x14ac:dyDescent="0.25">
      <c r="O48" s="11"/>
    </row>
    <row r="49" spans="15:15" x14ac:dyDescent="0.25">
      <c r="O49" s="11"/>
    </row>
    <row r="50" spans="15:15" x14ac:dyDescent="0.25">
      <c r="O50" s="11"/>
    </row>
    <row r="51" spans="15:15" x14ac:dyDescent="0.25">
      <c r="O51" s="11"/>
    </row>
    <row r="52" spans="15:15" x14ac:dyDescent="0.25">
      <c r="O52" s="11"/>
    </row>
    <row r="53" spans="15:15" x14ac:dyDescent="0.25">
      <c r="O53" s="11"/>
    </row>
    <row r="54" spans="15:15" x14ac:dyDescent="0.25">
      <c r="O54" s="11"/>
    </row>
    <row r="55" spans="15:15" x14ac:dyDescent="0.25">
      <c r="O55" s="11"/>
    </row>
    <row r="56" spans="15:15" x14ac:dyDescent="0.25">
      <c r="O56" s="11"/>
    </row>
    <row r="57" spans="15:15" x14ac:dyDescent="0.25">
      <c r="O57" s="11"/>
    </row>
    <row r="58" spans="15:15" x14ac:dyDescent="0.25">
      <c r="O58" s="11"/>
    </row>
    <row r="59" spans="15:15" x14ac:dyDescent="0.25">
      <c r="O59" s="11"/>
    </row>
    <row r="60" spans="15:15" x14ac:dyDescent="0.25">
      <c r="O60" s="11"/>
    </row>
    <row r="61" spans="15:15" x14ac:dyDescent="0.25">
      <c r="O61" s="11"/>
    </row>
    <row r="62" spans="15:15" x14ac:dyDescent="0.25">
      <c r="O62" s="11"/>
    </row>
    <row r="63" spans="15:15" x14ac:dyDescent="0.25">
      <c r="O63" s="11"/>
    </row>
    <row r="64" spans="15:15" x14ac:dyDescent="0.25">
      <c r="O64" s="11"/>
    </row>
    <row r="65" spans="15:15" x14ac:dyDescent="0.25">
      <c r="O65" s="11"/>
    </row>
    <row r="66" spans="15:15" x14ac:dyDescent="0.25">
      <c r="O66" s="11"/>
    </row>
    <row r="67" spans="15:15" x14ac:dyDescent="0.25">
      <c r="O67" s="11"/>
    </row>
    <row r="68" spans="15:15" x14ac:dyDescent="0.25">
      <c r="O68" s="11"/>
    </row>
    <row r="69" spans="15:15" x14ac:dyDescent="0.25">
      <c r="O69" s="11"/>
    </row>
    <row r="70" spans="15:15" x14ac:dyDescent="0.25">
      <c r="O70" s="11"/>
    </row>
    <row r="71" spans="15:15" x14ac:dyDescent="0.25">
      <c r="O71" s="11"/>
    </row>
    <row r="72" spans="15:15" x14ac:dyDescent="0.25">
      <c r="O72" s="11"/>
    </row>
    <row r="73" spans="15:15" x14ac:dyDescent="0.25">
      <c r="O73" s="11"/>
    </row>
    <row r="74" spans="15:15" x14ac:dyDescent="0.25">
      <c r="O74" s="11"/>
    </row>
    <row r="75" spans="15:15" x14ac:dyDescent="0.25">
      <c r="O75" s="11"/>
    </row>
    <row r="76" spans="15:15" x14ac:dyDescent="0.25">
      <c r="O76" s="11"/>
    </row>
    <row r="77" spans="15:15" x14ac:dyDescent="0.25">
      <c r="O77" s="11"/>
    </row>
    <row r="78" spans="15:15" x14ac:dyDescent="0.25">
      <c r="O78" s="11"/>
    </row>
    <row r="79" spans="15:15" x14ac:dyDescent="0.25">
      <c r="O79" s="11"/>
    </row>
    <row r="80" spans="15:15" x14ac:dyDescent="0.25">
      <c r="O80" s="11"/>
    </row>
    <row r="81" spans="15:15" x14ac:dyDescent="0.25">
      <c r="O81" s="11"/>
    </row>
    <row r="82" spans="15:15" x14ac:dyDescent="0.25">
      <c r="O82" s="11"/>
    </row>
    <row r="83" spans="15:15" x14ac:dyDescent="0.25">
      <c r="O83" s="11"/>
    </row>
    <row r="84" spans="15:15" x14ac:dyDescent="0.25">
      <c r="O84" s="11"/>
    </row>
    <row r="85" spans="15:15" x14ac:dyDescent="0.25">
      <c r="O85" s="11"/>
    </row>
    <row r="86" spans="15:15" x14ac:dyDescent="0.25">
      <c r="O86" s="11"/>
    </row>
    <row r="87" spans="15:15" x14ac:dyDescent="0.25">
      <c r="O87" s="11"/>
    </row>
    <row r="88" spans="15:15" x14ac:dyDescent="0.25">
      <c r="O88" s="11"/>
    </row>
    <row r="89" spans="15:15" x14ac:dyDescent="0.25">
      <c r="O89" s="11"/>
    </row>
    <row r="90" spans="15:15" x14ac:dyDescent="0.25">
      <c r="O90" s="11"/>
    </row>
    <row r="91" spans="15:15" x14ac:dyDescent="0.25">
      <c r="O91" s="11"/>
    </row>
    <row r="92" spans="15:15" x14ac:dyDescent="0.25">
      <c r="O92" s="11"/>
    </row>
    <row r="93" spans="15:15" x14ac:dyDescent="0.25">
      <c r="O93" s="11"/>
    </row>
    <row r="94" spans="15:15" x14ac:dyDescent="0.25">
      <c r="O94" s="11"/>
    </row>
    <row r="95" spans="15:15" x14ac:dyDescent="0.25">
      <c r="O95" s="11"/>
    </row>
    <row r="96" spans="15:15" x14ac:dyDescent="0.25">
      <c r="O96" s="11"/>
    </row>
    <row r="97" spans="15:15" x14ac:dyDescent="0.25">
      <c r="O97" s="11"/>
    </row>
    <row r="98" spans="15:15" x14ac:dyDescent="0.25">
      <c r="O98" s="11"/>
    </row>
    <row r="99" spans="15:15" x14ac:dyDescent="0.25">
      <c r="O99" s="11"/>
    </row>
    <row r="100" spans="15:15" x14ac:dyDescent="0.25">
      <c r="O100" s="11"/>
    </row>
    <row r="101" spans="15:15" x14ac:dyDescent="0.25">
      <c r="O101" s="11"/>
    </row>
    <row r="102" spans="15:15" x14ac:dyDescent="0.25">
      <c r="O102" s="11"/>
    </row>
    <row r="103" spans="15:15" x14ac:dyDescent="0.25">
      <c r="O103" s="11"/>
    </row>
    <row r="104" spans="15:15" x14ac:dyDescent="0.25">
      <c r="O104" s="11"/>
    </row>
    <row r="105" spans="15:15" x14ac:dyDescent="0.25">
      <c r="O105" s="11"/>
    </row>
    <row r="106" spans="15:15" x14ac:dyDescent="0.25">
      <c r="O106" s="11"/>
    </row>
    <row r="107" spans="15:15" x14ac:dyDescent="0.25">
      <c r="O107" s="11"/>
    </row>
    <row r="108" spans="15:15" x14ac:dyDescent="0.25">
      <c r="O108" s="11"/>
    </row>
    <row r="109" spans="15:15" x14ac:dyDescent="0.25">
      <c r="O109" s="11"/>
    </row>
    <row r="110" spans="15:15" x14ac:dyDescent="0.25">
      <c r="O110" s="11"/>
    </row>
    <row r="111" spans="15:15" x14ac:dyDescent="0.25">
      <c r="O111" s="11"/>
    </row>
  </sheetData>
  <sortState xmlns:xlrd2="http://schemas.microsoft.com/office/spreadsheetml/2017/richdata2" ref="B2:J25">
    <sortCondition ref="B2:B25"/>
  </sortState>
  <conditionalFormatting sqref="J1:J1048576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{ED4A8701-D9DC-40D7-9041-8B0437552167}</x14:id>
        </ext>
      </extLst>
    </cfRule>
  </conditionalFormatting>
  <conditionalFormatting sqref="K1:K1048576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{EB2A134E-270B-4C6D-9190-D08FFE1547A3}</x14:id>
        </ext>
      </extLst>
    </cfRule>
  </conditionalFormatting>
  <conditionalFormatting sqref="L1:L1048576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{D1DED9E8-95D3-492F-AAD6-CB2AEB1A5320}</x14:id>
        </ext>
      </extLst>
    </cfRule>
  </conditionalFormatting>
  <conditionalFormatting sqref="M1:M1048576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{20F88C69-918B-40C1-841B-A5C1C0EC7E7B}</x14:id>
        </ext>
      </extLst>
    </cfRule>
  </conditionalFormatting>
  <conditionalFormatting sqref="N1:N1048576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{B5ED438B-4F7A-4DFB-80CC-570E56939A31}</x14:id>
        </ext>
      </extLst>
    </cfRule>
  </conditionalFormatting>
  <conditionalFormatting sqref="O1:O104857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{EF194CE7-ABEE-4D80-83A4-68A3FD9BBB53}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4A8701-D9DC-40D7-9041-8B043755216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EB2A134E-270B-4C6D-9190-D08FFE1547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K1:K1048576</xm:sqref>
        </x14:conditionalFormatting>
        <x14:conditionalFormatting xmlns:xm="http://schemas.microsoft.com/office/excel/2006/main">
          <x14:cfRule type="dataBar" id="{D1DED9E8-95D3-492F-AAD6-CB2AEB1A532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L1:L1048576</xm:sqref>
        </x14:conditionalFormatting>
        <x14:conditionalFormatting xmlns:xm="http://schemas.microsoft.com/office/excel/2006/main">
          <x14:cfRule type="dataBar" id="{20F88C69-918B-40C1-841B-A5C1C0EC7E7B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  <x14:conditionalFormatting xmlns:xm="http://schemas.microsoft.com/office/excel/2006/main">
          <x14:cfRule type="dataBar" id="{B5ED438B-4F7A-4DFB-80CC-570E56939A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EF194CE7-ABEE-4D80-83A4-68A3FD9BBB5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O1:O1048576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Y77"/>
  <sheetViews>
    <sheetView workbookViewId="0">
      <selection activeCell="T2" sqref="T2:Y67"/>
    </sheetView>
  </sheetViews>
  <sheetFormatPr defaultRowHeight="15" x14ac:dyDescent="0.25"/>
  <cols>
    <col min="2" max="2" width="21.28515625" customWidth="1"/>
    <col min="12" max="12" width="9.85546875" customWidth="1"/>
  </cols>
  <sheetData>
    <row r="1" spans="1:25" x14ac:dyDescent="0.25">
      <c r="C1" s="3" t="s">
        <v>136</v>
      </c>
      <c r="D1" s="3" t="s">
        <v>137</v>
      </c>
      <c r="E1" s="3" t="s">
        <v>89</v>
      </c>
      <c r="F1" s="3" t="s">
        <v>91</v>
      </c>
      <c r="G1" s="3" t="s">
        <v>138</v>
      </c>
      <c r="H1" s="3" t="s">
        <v>92</v>
      </c>
      <c r="I1" s="3" t="s">
        <v>139</v>
      </c>
      <c r="J1" s="3" t="s">
        <v>143</v>
      </c>
      <c r="K1" s="3" t="s">
        <v>144</v>
      </c>
      <c r="L1" s="5" t="s">
        <v>145</v>
      </c>
      <c r="M1" s="5" t="s">
        <v>136</v>
      </c>
      <c r="N1" s="5" t="s">
        <v>137</v>
      </c>
      <c r="O1" s="5" t="s">
        <v>89</v>
      </c>
      <c r="P1" s="5" t="s">
        <v>91</v>
      </c>
      <c r="Q1" s="5" t="s">
        <v>138</v>
      </c>
      <c r="R1" s="5" t="s">
        <v>92</v>
      </c>
      <c r="S1" s="4" t="s">
        <v>142</v>
      </c>
      <c r="T1" s="4" t="s">
        <v>136</v>
      </c>
      <c r="U1" s="4" t="s">
        <v>137</v>
      </c>
      <c r="V1" s="4" t="s">
        <v>89</v>
      </c>
      <c r="W1" s="4" t="s">
        <v>91</v>
      </c>
      <c r="X1" s="4" t="s">
        <v>138</v>
      </c>
      <c r="Y1" s="4" t="s">
        <v>92</v>
      </c>
    </row>
    <row r="2" spans="1:25" x14ac:dyDescent="0.25">
      <c r="A2">
        <v>1</v>
      </c>
      <c r="B2" t="s">
        <v>132</v>
      </c>
      <c r="C2">
        <v>-25.799999999999997</v>
      </c>
      <c r="D2">
        <v>-5.1599999999999993</v>
      </c>
      <c r="E2">
        <v>3</v>
      </c>
      <c r="F2">
        <v>0</v>
      </c>
      <c r="G2">
        <v>0</v>
      </c>
      <c r="H2">
        <v>3</v>
      </c>
      <c r="I2" s="11">
        <f>IFERROR((F2/E2)*100,0)</f>
        <v>0</v>
      </c>
      <c r="J2" s="14">
        <f>IFERROR(C2/E2,0)</f>
        <v>-8.6</v>
      </c>
      <c r="K2" s="14">
        <f>IFERROR(D2/E2,0)</f>
        <v>-1.7199999999999998</v>
      </c>
      <c r="M2">
        <f t="shared" ref="M2:R2" si="0">C2+T2</f>
        <v>-25.799999999999997</v>
      </c>
      <c r="N2">
        <f t="shared" si="0"/>
        <v>-5.1599999999999993</v>
      </c>
      <c r="O2">
        <f t="shared" si="0"/>
        <v>3</v>
      </c>
      <c r="P2">
        <f t="shared" si="0"/>
        <v>0</v>
      </c>
      <c r="Q2">
        <f t="shared" si="0"/>
        <v>0</v>
      </c>
      <c r="R2">
        <f t="shared" si="0"/>
        <v>3</v>
      </c>
    </row>
    <row r="3" spans="1:25" x14ac:dyDescent="0.25">
      <c r="A3">
        <v>2</v>
      </c>
      <c r="B3" t="s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 s="11">
        <f t="shared" ref="I3:I66" si="1">IFERROR((F3/E3)*100,0)</f>
        <v>0</v>
      </c>
      <c r="J3" s="14">
        <f t="shared" ref="J3:J66" si="2">IFERROR(C3/E3,0)</f>
        <v>0</v>
      </c>
      <c r="K3" s="14">
        <f t="shared" ref="K3:K66" si="3">IFERROR(D3/E3,0)</f>
        <v>0</v>
      </c>
      <c r="M3">
        <f t="shared" ref="M3:M66" si="4">C3+T3</f>
        <v>0</v>
      </c>
      <c r="N3">
        <f t="shared" ref="N3:N17" si="5">D3+U3</f>
        <v>0</v>
      </c>
      <c r="O3">
        <f t="shared" ref="O3:O17" si="6">E3+V3</f>
        <v>0</v>
      </c>
      <c r="P3">
        <f t="shared" ref="P3:P17" si="7">F3+W3</f>
        <v>0</v>
      </c>
      <c r="Q3">
        <f t="shared" ref="Q3:Q17" si="8">G3+X3</f>
        <v>0</v>
      </c>
      <c r="R3">
        <f t="shared" ref="R3:R17" si="9">H3+Y3</f>
        <v>0</v>
      </c>
    </row>
    <row r="4" spans="1:25" x14ac:dyDescent="0.25">
      <c r="A4">
        <v>3</v>
      </c>
      <c r="B4" t="s">
        <v>135</v>
      </c>
      <c r="C4">
        <v>-19.899999999999999</v>
      </c>
      <c r="D4">
        <v>-3.9799999999999995</v>
      </c>
      <c r="E4">
        <v>6</v>
      </c>
      <c r="F4">
        <v>2</v>
      </c>
      <c r="G4">
        <v>0</v>
      </c>
      <c r="H4">
        <v>4</v>
      </c>
      <c r="I4" s="11">
        <f t="shared" si="1"/>
        <v>33.333333333333329</v>
      </c>
      <c r="J4" s="14">
        <f t="shared" si="2"/>
        <v>-3.3166666666666664</v>
      </c>
      <c r="K4" s="14">
        <f t="shared" si="3"/>
        <v>-0.66333333333333322</v>
      </c>
      <c r="M4">
        <f t="shared" si="4"/>
        <v>-19.899999999999999</v>
      </c>
      <c r="N4">
        <f t="shared" si="5"/>
        <v>-3.9799999999999995</v>
      </c>
      <c r="O4">
        <f t="shared" si="6"/>
        <v>6</v>
      </c>
      <c r="P4">
        <f t="shared" si="7"/>
        <v>2</v>
      </c>
      <c r="Q4">
        <f t="shared" si="8"/>
        <v>0</v>
      </c>
      <c r="R4">
        <f t="shared" si="9"/>
        <v>4</v>
      </c>
    </row>
    <row r="5" spans="1:25" x14ac:dyDescent="0.25">
      <c r="A5">
        <v>4</v>
      </c>
      <c r="B5" t="s">
        <v>133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 s="11">
        <f t="shared" si="1"/>
        <v>0</v>
      </c>
      <c r="J5" s="14">
        <f t="shared" si="2"/>
        <v>0</v>
      </c>
      <c r="K5" s="14">
        <f t="shared" si="3"/>
        <v>0</v>
      </c>
      <c r="M5">
        <f t="shared" si="4"/>
        <v>0</v>
      </c>
      <c r="N5">
        <f t="shared" si="5"/>
        <v>0</v>
      </c>
      <c r="O5">
        <f t="shared" si="6"/>
        <v>0</v>
      </c>
      <c r="P5">
        <f t="shared" si="7"/>
        <v>0</v>
      </c>
      <c r="Q5">
        <f t="shared" si="8"/>
        <v>0</v>
      </c>
      <c r="R5">
        <f t="shared" si="9"/>
        <v>0</v>
      </c>
    </row>
    <row r="6" spans="1:25" x14ac:dyDescent="0.25">
      <c r="A6">
        <v>5</v>
      </c>
      <c r="B6" t="s">
        <v>134</v>
      </c>
      <c r="C6">
        <v>-2.9</v>
      </c>
      <c r="D6">
        <v>-0.58000000000000007</v>
      </c>
      <c r="E6">
        <v>3</v>
      </c>
      <c r="F6">
        <v>1</v>
      </c>
      <c r="G6">
        <v>0</v>
      </c>
      <c r="H6">
        <v>2</v>
      </c>
      <c r="I6" s="11">
        <f t="shared" si="1"/>
        <v>33.333333333333329</v>
      </c>
      <c r="J6" s="14">
        <f t="shared" si="2"/>
        <v>-0.96666666666666667</v>
      </c>
      <c r="K6" s="14">
        <f t="shared" si="3"/>
        <v>-0.19333333333333336</v>
      </c>
      <c r="M6">
        <f t="shared" si="4"/>
        <v>-2.9</v>
      </c>
      <c r="N6">
        <f t="shared" si="5"/>
        <v>-0.58000000000000007</v>
      </c>
      <c r="O6">
        <f t="shared" si="6"/>
        <v>3</v>
      </c>
      <c r="P6">
        <f t="shared" si="7"/>
        <v>1</v>
      </c>
      <c r="Q6">
        <f t="shared" si="8"/>
        <v>0</v>
      </c>
      <c r="R6">
        <f t="shared" si="9"/>
        <v>2</v>
      </c>
    </row>
    <row r="7" spans="1:25" x14ac:dyDescent="0.25">
      <c r="A7">
        <v>6</v>
      </c>
      <c r="B7" t="s">
        <v>74</v>
      </c>
      <c r="C7">
        <v>6</v>
      </c>
      <c r="D7">
        <v>1.2</v>
      </c>
      <c r="E7">
        <v>3</v>
      </c>
      <c r="F7">
        <v>3</v>
      </c>
      <c r="G7">
        <v>0</v>
      </c>
      <c r="H7">
        <v>0</v>
      </c>
      <c r="I7" s="11">
        <f t="shared" si="1"/>
        <v>100</v>
      </c>
      <c r="J7" s="14">
        <f t="shared" si="2"/>
        <v>2</v>
      </c>
      <c r="K7" s="14">
        <f t="shared" si="3"/>
        <v>0.39999999999999997</v>
      </c>
      <c r="M7">
        <f t="shared" si="4"/>
        <v>6</v>
      </c>
      <c r="N7">
        <f t="shared" si="5"/>
        <v>1.2</v>
      </c>
      <c r="O7">
        <f t="shared" si="6"/>
        <v>3</v>
      </c>
      <c r="P7">
        <f t="shared" si="7"/>
        <v>3</v>
      </c>
      <c r="Q7">
        <f t="shared" si="8"/>
        <v>0</v>
      </c>
      <c r="R7">
        <f t="shared" si="9"/>
        <v>0</v>
      </c>
    </row>
    <row r="8" spans="1:25" x14ac:dyDescent="0.25">
      <c r="A8">
        <v>7</v>
      </c>
      <c r="B8" t="s">
        <v>99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 s="11">
        <f t="shared" si="1"/>
        <v>0</v>
      </c>
      <c r="J8" s="14">
        <f t="shared" si="2"/>
        <v>0</v>
      </c>
      <c r="K8" s="14">
        <f t="shared" si="3"/>
        <v>0</v>
      </c>
      <c r="M8">
        <f t="shared" si="4"/>
        <v>0</v>
      </c>
      <c r="N8">
        <f t="shared" si="5"/>
        <v>0</v>
      </c>
      <c r="O8">
        <f t="shared" si="6"/>
        <v>0</v>
      </c>
      <c r="P8">
        <f t="shared" si="7"/>
        <v>0</v>
      </c>
      <c r="Q8">
        <f t="shared" si="8"/>
        <v>0</v>
      </c>
      <c r="R8">
        <f t="shared" si="9"/>
        <v>0</v>
      </c>
    </row>
    <row r="9" spans="1:25" x14ac:dyDescent="0.25">
      <c r="A9">
        <v>8</v>
      </c>
      <c r="B9" t="s">
        <v>101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 s="11">
        <f t="shared" si="1"/>
        <v>0</v>
      </c>
      <c r="J9" s="14">
        <f t="shared" si="2"/>
        <v>0</v>
      </c>
      <c r="K9" s="14">
        <f t="shared" si="3"/>
        <v>0</v>
      </c>
      <c r="M9">
        <f t="shared" si="4"/>
        <v>0</v>
      </c>
      <c r="N9">
        <f t="shared" si="5"/>
        <v>0</v>
      </c>
      <c r="O9">
        <f t="shared" si="6"/>
        <v>0</v>
      </c>
      <c r="P9">
        <f t="shared" si="7"/>
        <v>0</v>
      </c>
      <c r="Q9">
        <f t="shared" si="8"/>
        <v>0</v>
      </c>
      <c r="R9">
        <f t="shared" si="9"/>
        <v>0</v>
      </c>
    </row>
    <row r="10" spans="1:25" x14ac:dyDescent="0.25">
      <c r="A10">
        <v>9</v>
      </c>
      <c r="B10" t="s">
        <v>77</v>
      </c>
      <c r="C10">
        <v>-6</v>
      </c>
      <c r="D10">
        <v>-1.2</v>
      </c>
      <c r="E10">
        <v>1</v>
      </c>
      <c r="F10">
        <v>0</v>
      </c>
      <c r="G10">
        <v>0</v>
      </c>
      <c r="H10">
        <v>1</v>
      </c>
      <c r="I10" s="11">
        <f t="shared" si="1"/>
        <v>0</v>
      </c>
      <c r="J10" s="14">
        <f t="shared" si="2"/>
        <v>-6</v>
      </c>
      <c r="K10" s="14">
        <f t="shared" si="3"/>
        <v>-1.2</v>
      </c>
      <c r="M10">
        <f t="shared" si="4"/>
        <v>-6</v>
      </c>
      <c r="N10">
        <f t="shared" si="5"/>
        <v>-1.2</v>
      </c>
      <c r="O10">
        <f t="shared" si="6"/>
        <v>1</v>
      </c>
      <c r="P10">
        <f t="shared" si="7"/>
        <v>0</v>
      </c>
      <c r="Q10">
        <f t="shared" si="8"/>
        <v>0</v>
      </c>
      <c r="R10">
        <f t="shared" si="9"/>
        <v>1</v>
      </c>
    </row>
    <row r="11" spans="1:25" x14ac:dyDescent="0.25">
      <c r="A11">
        <v>10</v>
      </c>
      <c r="B11" t="s">
        <v>72</v>
      </c>
      <c r="C11">
        <v>26.799999999999997</v>
      </c>
      <c r="D11">
        <v>5.36</v>
      </c>
      <c r="E11">
        <v>12</v>
      </c>
      <c r="F11">
        <v>7</v>
      </c>
      <c r="G11">
        <v>0</v>
      </c>
      <c r="H11">
        <v>5</v>
      </c>
      <c r="I11" s="11">
        <f t="shared" si="1"/>
        <v>58.333333333333336</v>
      </c>
      <c r="J11" s="14">
        <f t="shared" si="2"/>
        <v>2.2333333333333329</v>
      </c>
      <c r="K11" s="14">
        <f t="shared" si="3"/>
        <v>0.44666666666666671</v>
      </c>
      <c r="M11">
        <f t="shared" si="4"/>
        <v>26.799999999999997</v>
      </c>
      <c r="N11">
        <f t="shared" si="5"/>
        <v>5.36</v>
      </c>
      <c r="O11">
        <f t="shared" si="6"/>
        <v>12</v>
      </c>
      <c r="P11">
        <f t="shared" si="7"/>
        <v>7</v>
      </c>
      <c r="Q11">
        <f t="shared" si="8"/>
        <v>0</v>
      </c>
      <c r="R11">
        <f t="shared" si="9"/>
        <v>5</v>
      </c>
    </row>
    <row r="12" spans="1:25" x14ac:dyDescent="0.25">
      <c r="A12">
        <v>11</v>
      </c>
      <c r="B12" t="s">
        <v>102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 s="11">
        <f t="shared" si="1"/>
        <v>0</v>
      </c>
      <c r="J12" s="14">
        <f t="shared" si="2"/>
        <v>0</v>
      </c>
      <c r="K12" s="14">
        <f t="shared" si="3"/>
        <v>0</v>
      </c>
      <c r="M12">
        <f t="shared" si="4"/>
        <v>0</v>
      </c>
      <c r="N12">
        <f t="shared" si="5"/>
        <v>0</v>
      </c>
      <c r="O12">
        <f t="shared" si="6"/>
        <v>0</v>
      </c>
      <c r="P12">
        <f t="shared" si="7"/>
        <v>0</v>
      </c>
      <c r="Q12">
        <f t="shared" si="8"/>
        <v>0</v>
      </c>
      <c r="R12">
        <f t="shared" si="9"/>
        <v>0</v>
      </c>
    </row>
    <row r="13" spans="1:25" x14ac:dyDescent="0.25">
      <c r="A13">
        <v>12</v>
      </c>
      <c r="B13" t="s">
        <v>76</v>
      </c>
      <c r="C13">
        <v>-12</v>
      </c>
      <c r="D13">
        <v>-2.4</v>
      </c>
      <c r="E13">
        <v>3</v>
      </c>
      <c r="F13">
        <v>1</v>
      </c>
      <c r="G13">
        <v>0</v>
      </c>
      <c r="H13">
        <v>2</v>
      </c>
      <c r="I13" s="11">
        <f t="shared" si="1"/>
        <v>33.333333333333329</v>
      </c>
      <c r="J13" s="14">
        <f t="shared" si="2"/>
        <v>-4</v>
      </c>
      <c r="K13" s="14">
        <f t="shared" si="3"/>
        <v>-0.79999999999999993</v>
      </c>
      <c r="M13">
        <f t="shared" si="4"/>
        <v>-12</v>
      </c>
      <c r="N13">
        <f t="shared" si="5"/>
        <v>-2.4</v>
      </c>
      <c r="O13">
        <f t="shared" si="6"/>
        <v>3</v>
      </c>
      <c r="P13">
        <f t="shared" si="7"/>
        <v>1</v>
      </c>
      <c r="Q13">
        <f t="shared" si="8"/>
        <v>0</v>
      </c>
      <c r="R13">
        <f t="shared" si="9"/>
        <v>2</v>
      </c>
    </row>
    <row r="14" spans="1:25" x14ac:dyDescent="0.25">
      <c r="A14">
        <v>13</v>
      </c>
      <c r="B14" t="s">
        <v>60</v>
      </c>
      <c r="C14">
        <v>24.4</v>
      </c>
      <c r="D14">
        <v>4.8800000000000008</v>
      </c>
      <c r="E14">
        <v>13</v>
      </c>
      <c r="F14">
        <v>7</v>
      </c>
      <c r="G14">
        <v>0</v>
      </c>
      <c r="H14">
        <v>6</v>
      </c>
      <c r="I14" s="11">
        <f t="shared" si="1"/>
        <v>53.846153846153847</v>
      </c>
      <c r="J14" s="14">
        <f t="shared" si="2"/>
        <v>1.8769230769230769</v>
      </c>
      <c r="K14" s="14">
        <f t="shared" si="3"/>
        <v>0.37538461538461543</v>
      </c>
      <c r="M14">
        <f t="shared" si="4"/>
        <v>24.4</v>
      </c>
      <c r="N14">
        <f t="shared" si="5"/>
        <v>4.8800000000000008</v>
      </c>
      <c r="O14">
        <f t="shared" si="6"/>
        <v>13</v>
      </c>
      <c r="P14">
        <f t="shared" si="7"/>
        <v>7</v>
      </c>
      <c r="Q14">
        <f t="shared" si="8"/>
        <v>0</v>
      </c>
      <c r="R14">
        <f t="shared" si="9"/>
        <v>6</v>
      </c>
    </row>
    <row r="15" spans="1:25" x14ac:dyDescent="0.25">
      <c r="A15">
        <v>14</v>
      </c>
      <c r="B15" t="s">
        <v>67</v>
      </c>
      <c r="C15">
        <v>20.2</v>
      </c>
      <c r="D15">
        <v>4.04</v>
      </c>
      <c r="E15">
        <v>11</v>
      </c>
      <c r="F15">
        <v>8</v>
      </c>
      <c r="G15">
        <v>0</v>
      </c>
      <c r="H15">
        <v>3</v>
      </c>
      <c r="I15" s="11">
        <f t="shared" si="1"/>
        <v>72.727272727272734</v>
      </c>
      <c r="J15" s="14">
        <f t="shared" si="2"/>
        <v>1.8363636363636362</v>
      </c>
      <c r="K15" s="14">
        <f t="shared" si="3"/>
        <v>0.36727272727272725</v>
      </c>
      <c r="M15">
        <f t="shared" si="4"/>
        <v>20.2</v>
      </c>
      <c r="N15">
        <f t="shared" si="5"/>
        <v>4.04</v>
      </c>
      <c r="O15">
        <f t="shared" si="6"/>
        <v>11</v>
      </c>
      <c r="P15">
        <f t="shared" si="7"/>
        <v>8</v>
      </c>
      <c r="Q15">
        <f t="shared" si="8"/>
        <v>0</v>
      </c>
      <c r="R15">
        <f t="shared" si="9"/>
        <v>3</v>
      </c>
    </row>
    <row r="16" spans="1:25" x14ac:dyDescent="0.25">
      <c r="A16">
        <v>15</v>
      </c>
      <c r="B16" t="s">
        <v>94</v>
      </c>
      <c r="C16">
        <v>-1.8</v>
      </c>
      <c r="D16">
        <v>-0.36</v>
      </c>
      <c r="E16">
        <v>2</v>
      </c>
      <c r="F16">
        <v>0</v>
      </c>
      <c r="G16">
        <v>0</v>
      </c>
      <c r="H16">
        <v>2</v>
      </c>
      <c r="I16" s="11">
        <f t="shared" si="1"/>
        <v>0</v>
      </c>
      <c r="J16" s="14">
        <f t="shared" si="2"/>
        <v>-0.9</v>
      </c>
      <c r="K16" s="14">
        <f t="shared" si="3"/>
        <v>-0.18</v>
      </c>
      <c r="M16">
        <f t="shared" si="4"/>
        <v>-1.8</v>
      </c>
      <c r="N16">
        <f t="shared" si="5"/>
        <v>-0.36</v>
      </c>
      <c r="O16">
        <f t="shared" si="6"/>
        <v>2</v>
      </c>
      <c r="P16">
        <f t="shared" si="7"/>
        <v>0</v>
      </c>
      <c r="Q16">
        <f t="shared" si="8"/>
        <v>0</v>
      </c>
      <c r="R16">
        <f t="shared" si="9"/>
        <v>2</v>
      </c>
    </row>
    <row r="17" spans="1:18" x14ac:dyDescent="0.25">
      <c r="A17">
        <v>16</v>
      </c>
      <c r="B17" t="s">
        <v>95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 s="11">
        <f t="shared" si="1"/>
        <v>0</v>
      </c>
      <c r="J17" s="14">
        <f t="shared" si="2"/>
        <v>0</v>
      </c>
      <c r="K17" s="14">
        <f t="shared" si="3"/>
        <v>0</v>
      </c>
      <c r="M17">
        <f t="shared" si="4"/>
        <v>0</v>
      </c>
      <c r="N17">
        <f t="shared" si="5"/>
        <v>0</v>
      </c>
      <c r="O17">
        <f t="shared" si="6"/>
        <v>0</v>
      </c>
      <c r="P17">
        <f t="shared" si="7"/>
        <v>0</v>
      </c>
      <c r="Q17">
        <f t="shared" si="8"/>
        <v>0</v>
      </c>
      <c r="R17">
        <f t="shared" si="9"/>
        <v>0</v>
      </c>
    </row>
    <row r="18" spans="1:18" x14ac:dyDescent="0.25">
      <c r="A18">
        <v>17</v>
      </c>
      <c r="B18" t="s">
        <v>65</v>
      </c>
      <c r="C18">
        <v>-11.9</v>
      </c>
      <c r="D18">
        <v>-2.3800000000000003</v>
      </c>
      <c r="E18">
        <v>8</v>
      </c>
      <c r="F18">
        <v>4</v>
      </c>
      <c r="G18">
        <v>0</v>
      </c>
      <c r="H18">
        <v>4</v>
      </c>
      <c r="I18" s="11">
        <f t="shared" si="1"/>
        <v>50</v>
      </c>
      <c r="J18" s="14">
        <f t="shared" si="2"/>
        <v>-1.4875</v>
      </c>
      <c r="K18" s="14">
        <f t="shared" si="3"/>
        <v>-0.29750000000000004</v>
      </c>
      <c r="M18">
        <f t="shared" si="4"/>
        <v>-11.9</v>
      </c>
      <c r="N18">
        <f t="shared" ref="N18:N67" si="10">D18+U18</f>
        <v>-2.3800000000000003</v>
      </c>
      <c r="O18">
        <f t="shared" ref="O18:O67" si="11">E18+V18</f>
        <v>8</v>
      </c>
      <c r="P18">
        <f t="shared" ref="P18:P67" si="12">F18+W18</f>
        <v>4</v>
      </c>
      <c r="Q18">
        <f t="shared" ref="Q18:Q49" si="13">G18+X18</f>
        <v>0</v>
      </c>
      <c r="R18">
        <f t="shared" ref="R18:R49" si="14">H18+Y18</f>
        <v>4</v>
      </c>
    </row>
    <row r="19" spans="1:18" x14ac:dyDescent="0.25">
      <c r="A19">
        <v>18</v>
      </c>
      <c r="B19" t="s">
        <v>103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 s="11">
        <f t="shared" si="1"/>
        <v>0</v>
      </c>
      <c r="J19" s="14">
        <f t="shared" si="2"/>
        <v>0</v>
      </c>
      <c r="K19" s="14">
        <f t="shared" si="3"/>
        <v>0</v>
      </c>
      <c r="M19">
        <f t="shared" si="4"/>
        <v>0</v>
      </c>
      <c r="N19">
        <f t="shared" si="10"/>
        <v>0</v>
      </c>
      <c r="O19">
        <f t="shared" si="11"/>
        <v>0</v>
      </c>
      <c r="P19">
        <f t="shared" si="12"/>
        <v>0</v>
      </c>
      <c r="Q19">
        <f t="shared" si="13"/>
        <v>0</v>
      </c>
      <c r="R19">
        <f t="shared" si="14"/>
        <v>0</v>
      </c>
    </row>
    <row r="20" spans="1:18" x14ac:dyDescent="0.25">
      <c r="A20">
        <v>19</v>
      </c>
      <c r="B20" t="s">
        <v>69</v>
      </c>
      <c r="C20">
        <v>9.0999999999999979</v>
      </c>
      <c r="D20">
        <v>1.8199999999999996</v>
      </c>
      <c r="E20">
        <v>27</v>
      </c>
      <c r="F20">
        <v>13</v>
      </c>
      <c r="G20">
        <v>1</v>
      </c>
      <c r="H20">
        <v>13</v>
      </c>
      <c r="I20" s="11">
        <f t="shared" si="1"/>
        <v>48.148148148148145</v>
      </c>
      <c r="J20" s="14">
        <f t="shared" si="2"/>
        <v>0.33703703703703697</v>
      </c>
      <c r="K20" s="14">
        <f t="shared" si="3"/>
        <v>6.7407407407407388E-2</v>
      </c>
      <c r="M20">
        <f t="shared" si="4"/>
        <v>9.0999999999999979</v>
      </c>
      <c r="N20">
        <f t="shared" si="10"/>
        <v>1.8199999999999996</v>
      </c>
      <c r="O20">
        <f t="shared" si="11"/>
        <v>27</v>
      </c>
      <c r="P20">
        <f t="shared" si="12"/>
        <v>13</v>
      </c>
      <c r="Q20">
        <f t="shared" si="13"/>
        <v>1</v>
      </c>
      <c r="R20">
        <f t="shared" si="14"/>
        <v>13</v>
      </c>
    </row>
    <row r="21" spans="1:18" x14ac:dyDescent="0.25">
      <c r="A21">
        <v>20</v>
      </c>
      <c r="B21" t="s">
        <v>85</v>
      </c>
      <c r="C21">
        <v>1</v>
      </c>
      <c r="D21">
        <v>0.2</v>
      </c>
      <c r="E21">
        <v>2</v>
      </c>
      <c r="F21">
        <v>1</v>
      </c>
      <c r="G21">
        <v>0</v>
      </c>
      <c r="H21">
        <v>1</v>
      </c>
      <c r="I21" s="11">
        <f t="shared" si="1"/>
        <v>50</v>
      </c>
      <c r="J21" s="14">
        <f t="shared" si="2"/>
        <v>0.5</v>
      </c>
      <c r="K21" s="14">
        <f t="shared" si="3"/>
        <v>0.1</v>
      </c>
      <c r="M21">
        <f t="shared" si="4"/>
        <v>1</v>
      </c>
      <c r="N21">
        <f t="shared" si="10"/>
        <v>0.2</v>
      </c>
      <c r="O21">
        <f t="shared" si="11"/>
        <v>2</v>
      </c>
      <c r="P21">
        <f t="shared" si="12"/>
        <v>1</v>
      </c>
      <c r="Q21">
        <f t="shared" si="13"/>
        <v>0</v>
      </c>
      <c r="R21">
        <f t="shared" si="14"/>
        <v>1</v>
      </c>
    </row>
    <row r="22" spans="1:18" x14ac:dyDescent="0.25">
      <c r="A22">
        <v>21</v>
      </c>
      <c r="B22" t="s">
        <v>121</v>
      </c>
      <c r="C22">
        <v>-1.9000000000000001</v>
      </c>
      <c r="D22">
        <v>-0.38</v>
      </c>
      <c r="E22">
        <v>2</v>
      </c>
      <c r="F22">
        <v>1</v>
      </c>
      <c r="G22">
        <v>0</v>
      </c>
      <c r="H22">
        <v>1</v>
      </c>
      <c r="I22" s="11">
        <f t="shared" si="1"/>
        <v>50</v>
      </c>
      <c r="J22" s="14">
        <f t="shared" si="2"/>
        <v>-0.95000000000000007</v>
      </c>
      <c r="K22" s="14">
        <f t="shared" si="3"/>
        <v>-0.19</v>
      </c>
      <c r="M22">
        <f t="shared" si="4"/>
        <v>-1.9000000000000001</v>
      </c>
      <c r="N22">
        <f t="shared" si="10"/>
        <v>-0.38</v>
      </c>
      <c r="O22">
        <f t="shared" si="11"/>
        <v>2</v>
      </c>
      <c r="P22">
        <f t="shared" si="12"/>
        <v>1</v>
      </c>
      <c r="Q22">
        <f t="shared" si="13"/>
        <v>0</v>
      </c>
      <c r="R22">
        <f t="shared" si="14"/>
        <v>1</v>
      </c>
    </row>
    <row r="23" spans="1:18" x14ac:dyDescent="0.25">
      <c r="A23">
        <v>22</v>
      </c>
      <c r="B23" t="s">
        <v>66</v>
      </c>
      <c r="C23">
        <v>3.3000000000000003</v>
      </c>
      <c r="D23">
        <v>0.66000000000000014</v>
      </c>
      <c r="E23">
        <v>6</v>
      </c>
      <c r="F23">
        <v>3</v>
      </c>
      <c r="G23">
        <v>0</v>
      </c>
      <c r="H23">
        <v>3</v>
      </c>
      <c r="I23" s="11">
        <f t="shared" si="1"/>
        <v>50</v>
      </c>
      <c r="J23" s="14">
        <f t="shared" si="2"/>
        <v>0.55000000000000004</v>
      </c>
      <c r="K23" s="14">
        <f t="shared" si="3"/>
        <v>0.11000000000000003</v>
      </c>
      <c r="M23">
        <f t="shared" si="4"/>
        <v>3.3000000000000003</v>
      </c>
      <c r="N23">
        <f t="shared" si="10"/>
        <v>0.66000000000000014</v>
      </c>
      <c r="O23">
        <f t="shared" si="11"/>
        <v>6</v>
      </c>
      <c r="P23">
        <f t="shared" si="12"/>
        <v>3</v>
      </c>
      <c r="Q23">
        <f t="shared" si="13"/>
        <v>0</v>
      </c>
      <c r="R23">
        <f t="shared" si="14"/>
        <v>3</v>
      </c>
    </row>
    <row r="24" spans="1:18" x14ac:dyDescent="0.25">
      <c r="A24">
        <v>23</v>
      </c>
      <c r="B24" t="s">
        <v>120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 s="11">
        <f t="shared" si="1"/>
        <v>0</v>
      </c>
      <c r="J24" s="14">
        <f t="shared" si="2"/>
        <v>0</v>
      </c>
      <c r="K24" s="14">
        <f t="shared" si="3"/>
        <v>0</v>
      </c>
      <c r="M24">
        <f t="shared" si="4"/>
        <v>0</v>
      </c>
      <c r="N24">
        <f t="shared" si="10"/>
        <v>0</v>
      </c>
      <c r="O24">
        <f t="shared" si="11"/>
        <v>0</v>
      </c>
      <c r="P24">
        <f t="shared" si="12"/>
        <v>0</v>
      </c>
      <c r="Q24">
        <f t="shared" si="13"/>
        <v>0</v>
      </c>
      <c r="R24">
        <f t="shared" si="14"/>
        <v>0</v>
      </c>
    </row>
    <row r="25" spans="1:18" x14ac:dyDescent="0.25">
      <c r="A25">
        <v>24</v>
      </c>
      <c r="B25" t="s">
        <v>122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 s="11">
        <f t="shared" si="1"/>
        <v>0</v>
      </c>
      <c r="J25" s="14">
        <f t="shared" si="2"/>
        <v>0</v>
      </c>
      <c r="K25" s="14">
        <f t="shared" si="3"/>
        <v>0</v>
      </c>
      <c r="M25">
        <f t="shared" si="4"/>
        <v>0</v>
      </c>
      <c r="N25">
        <f t="shared" si="10"/>
        <v>0</v>
      </c>
      <c r="O25">
        <f t="shared" si="11"/>
        <v>0</v>
      </c>
      <c r="P25">
        <f t="shared" si="12"/>
        <v>0</v>
      </c>
      <c r="Q25">
        <f t="shared" si="13"/>
        <v>0</v>
      </c>
      <c r="R25">
        <f t="shared" si="14"/>
        <v>0</v>
      </c>
    </row>
    <row r="26" spans="1:18" x14ac:dyDescent="0.25">
      <c r="A26">
        <v>25</v>
      </c>
      <c r="B26" t="s">
        <v>123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 s="11">
        <f t="shared" si="1"/>
        <v>0</v>
      </c>
      <c r="J26" s="14">
        <f t="shared" si="2"/>
        <v>0</v>
      </c>
      <c r="K26" s="14">
        <f t="shared" si="3"/>
        <v>0</v>
      </c>
      <c r="M26">
        <f t="shared" si="4"/>
        <v>0</v>
      </c>
      <c r="N26">
        <f t="shared" si="10"/>
        <v>0</v>
      </c>
      <c r="O26">
        <f t="shared" si="11"/>
        <v>0</v>
      </c>
      <c r="P26">
        <f t="shared" si="12"/>
        <v>0</v>
      </c>
      <c r="Q26">
        <f t="shared" si="13"/>
        <v>0</v>
      </c>
      <c r="R26">
        <f t="shared" si="14"/>
        <v>0</v>
      </c>
    </row>
    <row r="27" spans="1:18" x14ac:dyDescent="0.25">
      <c r="A27">
        <v>26</v>
      </c>
      <c r="B27" t="s">
        <v>70</v>
      </c>
      <c r="C27">
        <v>39.299999999999997</v>
      </c>
      <c r="D27">
        <v>7.8600000000000012</v>
      </c>
      <c r="E27">
        <v>22</v>
      </c>
      <c r="F27">
        <v>14</v>
      </c>
      <c r="G27">
        <v>0</v>
      </c>
      <c r="H27">
        <v>8</v>
      </c>
      <c r="I27" s="11">
        <f t="shared" si="1"/>
        <v>63.636363636363633</v>
      </c>
      <c r="J27" s="14">
        <f t="shared" si="2"/>
        <v>1.7863636363636362</v>
      </c>
      <c r="K27" s="14">
        <f t="shared" si="3"/>
        <v>0.35727272727272735</v>
      </c>
      <c r="M27">
        <f t="shared" si="4"/>
        <v>39.299999999999997</v>
      </c>
      <c r="N27">
        <f t="shared" si="10"/>
        <v>7.8600000000000012</v>
      </c>
      <c r="O27">
        <f t="shared" si="11"/>
        <v>22</v>
      </c>
      <c r="P27">
        <f t="shared" si="12"/>
        <v>14</v>
      </c>
      <c r="Q27">
        <f t="shared" si="13"/>
        <v>0</v>
      </c>
      <c r="R27">
        <f t="shared" si="14"/>
        <v>8</v>
      </c>
    </row>
    <row r="28" spans="1:18" x14ac:dyDescent="0.25">
      <c r="A28">
        <v>27</v>
      </c>
      <c r="B28" t="s">
        <v>130</v>
      </c>
      <c r="C28">
        <v>-1.3</v>
      </c>
      <c r="D28">
        <v>-0.26</v>
      </c>
      <c r="E28">
        <v>1</v>
      </c>
      <c r="F28">
        <v>0</v>
      </c>
      <c r="G28">
        <v>0</v>
      </c>
      <c r="H28">
        <v>1</v>
      </c>
      <c r="I28" s="11">
        <f t="shared" si="1"/>
        <v>0</v>
      </c>
      <c r="J28" s="14">
        <f t="shared" si="2"/>
        <v>-1.3</v>
      </c>
      <c r="K28" s="14">
        <f t="shared" si="3"/>
        <v>-0.26</v>
      </c>
      <c r="M28">
        <f t="shared" si="4"/>
        <v>-1.3</v>
      </c>
      <c r="N28">
        <f t="shared" si="10"/>
        <v>-0.26</v>
      </c>
      <c r="O28">
        <f t="shared" si="11"/>
        <v>1</v>
      </c>
      <c r="P28">
        <f t="shared" si="12"/>
        <v>0</v>
      </c>
      <c r="Q28">
        <f t="shared" si="13"/>
        <v>0</v>
      </c>
      <c r="R28">
        <f t="shared" si="14"/>
        <v>1</v>
      </c>
    </row>
    <row r="29" spans="1:18" x14ac:dyDescent="0.25">
      <c r="A29">
        <v>28</v>
      </c>
      <c r="B29" t="s">
        <v>64</v>
      </c>
      <c r="C29">
        <v>-40</v>
      </c>
      <c r="D29">
        <v>-8</v>
      </c>
      <c r="E29">
        <v>11</v>
      </c>
      <c r="F29">
        <v>3</v>
      </c>
      <c r="G29">
        <v>1</v>
      </c>
      <c r="H29">
        <v>7</v>
      </c>
      <c r="I29" s="11">
        <f t="shared" si="1"/>
        <v>27.27272727272727</v>
      </c>
      <c r="J29" s="14">
        <f t="shared" si="2"/>
        <v>-3.6363636363636362</v>
      </c>
      <c r="K29" s="14">
        <f t="shared" si="3"/>
        <v>-0.72727272727272729</v>
      </c>
      <c r="M29">
        <f t="shared" si="4"/>
        <v>-40</v>
      </c>
      <c r="N29">
        <f t="shared" si="10"/>
        <v>-8</v>
      </c>
      <c r="O29">
        <f t="shared" si="11"/>
        <v>11</v>
      </c>
      <c r="P29">
        <f t="shared" si="12"/>
        <v>3</v>
      </c>
      <c r="Q29">
        <f t="shared" si="13"/>
        <v>1</v>
      </c>
      <c r="R29">
        <f t="shared" si="14"/>
        <v>7</v>
      </c>
    </row>
    <row r="30" spans="1:18" x14ac:dyDescent="0.25">
      <c r="A30">
        <v>29</v>
      </c>
      <c r="B30" t="s">
        <v>128</v>
      </c>
      <c r="C30">
        <v>-5.8</v>
      </c>
      <c r="D30">
        <v>-1.1599999999999999</v>
      </c>
      <c r="E30">
        <v>3</v>
      </c>
      <c r="F30">
        <v>1</v>
      </c>
      <c r="G30">
        <v>0</v>
      </c>
      <c r="H30">
        <v>2</v>
      </c>
      <c r="I30" s="11">
        <f t="shared" si="1"/>
        <v>33.333333333333329</v>
      </c>
      <c r="J30" s="14">
        <f t="shared" si="2"/>
        <v>-1.9333333333333333</v>
      </c>
      <c r="K30" s="14">
        <f t="shared" si="3"/>
        <v>-0.38666666666666666</v>
      </c>
      <c r="M30">
        <f t="shared" si="4"/>
        <v>-5.8</v>
      </c>
      <c r="N30">
        <f t="shared" si="10"/>
        <v>-1.1599999999999999</v>
      </c>
      <c r="O30">
        <f t="shared" si="11"/>
        <v>3</v>
      </c>
      <c r="P30">
        <f t="shared" si="12"/>
        <v>1</v>
      </c>
      <c r="Q30">
        <f t="shared" si="13"/>
        <v>0</v>
      </c>
      <c r="R30">
        <f t="shared" si="14"/>
        <v>2</v>
      </c>
    </row>
    <row r="31" spans="1:18" x14ac:dyDescent="0.25">
      <c r="A31">
        <v>30</v>
      </c>
      <c r="B31" t="s">
        <v>126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 s="11">
        <f t="shared" si="1"/>
        <v>0</v>
      </c>
      <c r="J31" s="14">
        <f t="shared" si="2"/>
        <v>0</v>
      </c>
      <c r="K31" s="14">
        <f t="shared" si="3"/>
        <v>0</v>
      </c>
      <c r="M31">
        <f t="shared" si="4"/>
        <v>0</v>
      </c>
      <c r="N31">
        <f t="shared" si="10"/>
        <v>0</v>
      </c>
      <c r="O31">
        <f t="shared" si="11"/>
        <v>0</v>
      </c>
      <c r="P31">
        <f t="shared" si="12"/>
        <v>0</v>
      </c>
      <c r="Q31">
        <f t="shared" si="13"/>
        <v>0</v>
      </c>
      <c r="R31">
        <f t="shared" si="14"/>
        <v>0</v>
      </c>
    </row>
    <row r="32" spans="1:18" x14ac:dyDescent="0.25">
      <c r="A32">
        <v>31</v>
      </c>
      <c r="B32" t="s">
        <v>124</v>
      </c>
      <c r="C32">
        <v>1.3</v>
      </c>
      <c r="D32">
        <v>0.26</v>
      </c>
      <c r="E32">
        <v>3</v>
      </c>
      <c r="F32">
        <v>3</v>
      </c>
      <c r="G32">
        <v>0</v>
      </c>
      <c r="H32">
        <v>0</v>
      </c>
      <c r="I32" s="11">
        <f t="shared" si="1"/>
        <v>100</v>
      </c>
      <c r="J32" s="14">
        <f t="shared" si="2"/>
        <v>0.43333333333333335</v>
      </c>
      <c r="K32" s="14">
        <f t="shared" si="3"/>
        <v>8.666666666666667E-2</v>
      </c>
      <c r="M32">
        <f t="shared" si="4"/>
        <v>1.3</v>
      </c>
      <c r="N32">
        <f t="shared" si="10"/>
        <v>0.26</v>
      </c>
      <c r="O32">
        <f t="shared" si="11"/>
        <v>3</v>
      </c>
      <c r="P32">
        <f t="shared" si="12"/>
        <v>3</v>
      </c>
      <c r="Q32">
        <f t="shared" si="13"/>
        <v>0</v>
      </c>
      <c r="R32">
        <f t="shared" si="14"/>
        <v>0</v>
      </c>
    </row>
    <row r="33" spans="1:18" x14ac:dyDescent="0.25">
      <c r="A33">
        <v>32</v>
      </c>
      <c r="B33" t="s">
        <v>127</v>
      </c>
      <c r="C33">
        <v>4.6000000000000005</v>
      </c>
      <c r="D33">
        <v>0.91999999999999993</v>
      </c>
      <c r="E33">
        <v>3</v>
      </c>
      <c r="F33">
        <v>2</v>
      </c>
      <c r="G33">
        <v>0</v>
      </c>
      <c r="H33">
        <v>1</v>
      </c>
      <c r="I33" s="11">
        <f t="shared" si="1"/>
        <v>66.666666666666657</v>
      </c>
      <c r="J33" s="14">
        <f t="shared" si="2"/>
        <v>1.5333333333333334</v>
      </c>
      <c r="K33" s="14">
        <f t="shared" si="3"/>
        <v>0.30666666666666664</v>
      </c>
      <c r="M33">
        <f t="shared" si="4"/>
        <v>4.6000000000000005</v>
      </c>
      <c r="N33">
        <f t="shared" si="10"/>
        <v>0.91999999999999993</v>
      </c>
      <c r="O33">
        <f t="shared" si="11"/>
        <v>3</v>
      </c>
      <c r="P33">
        <f t="shared" si="12"/>
        <v>2</v>
      </c>
      <c r="Q33">
        <f t="shared" si="13"/>
        <v>0</v>
      </c>
      <c r="R33">
        <f t="shared" si="14"/>
        <v>1</v>
      </c>
    </row>
    <row r="34" spans="1:18" x14ac:dyDescent="0.25">
      <c r="A34">
        <v>33</v>
      </c>
      <c r="B34" t="s">
        <v>129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 s="11">
        <f t="shared" si="1"/>
        <v>0</v>
      </c>
      <c r="J34" s="14">
        <f t="shared" si="2"/>
        <v>0</v>
      </c>
      <c r="K34" s="14">
        <f t="shared" si="3"/>
        <v>0</v>
      </c>
      <c r="M34">
        <f t="shared" si="4"/>
        <v>0</v>
      </c>
      <c r="N34">
        <f t="shared" si="10"/>
        <v>0</v>
      </c>
      <c r="O34">
        <f t="shared" si="11"/>
        <v>0</v>
      </c>
      <c r="P34">
        <f t="shared" si="12"/>
        <v>0</v>
      </c>
      <c r="Q34">
        <f t="shared" si="13"/>
        <v>0</v>
      </c>
      <c r="R34">
        <f t="shared" si="14"/>
        <v>0</v>
      </c>
    </row>
    <row r="35" spans="1:18" x14ac:dyDescent="0.25">
      <c r="A35">
        <v>34</v>
      </c>
      <c r="B35" t="s">
        <v>131</v>
      </c>
      <c r="C35">
        <v>2.0999999999999996</v>
      </c>
      <c r="D35">
        <v>0.41999999999999993</v>
      </c>
      <c r="E35">
        <v>3</v>
      </c>
      <c r="F35">
        <v>2</v>
      </c>
      <c r="G35">
        <v>0</v>
      </c>
      <c r="H35">
        <v>1</v>
      </c>
      <c r="I35" s="11">
        <f t="shared" si="1"/>
        <v>66.666666666666657</v>
      </c>
      <c r="J35" s="14">
        <f t="shared" si="2"/>
        <v>0.69999999999999984</v>
      </c>
      <c r="K35" s="14">
        <f t="shared" si="3"/>
        <v>0.13999999999999999</v>
      </c>
      <c r="M35">
        <f t="shared" si="4"/>
        <v>2.0999999999999996</v>
      </c>
      <c r="N35">
        <f t="shared" si="10"/>
        <v>0.41999999999999993</v>
      </c>
      <c r="O35">
        <f t="shared" si="11"/>
        <v>3</v>
      </c>
      <c r="P35">
        <f t="shared" si="12"/>
        <v>2</v>
      </c>
      <c r="Q35">
        <f t="shared" si="13"/>
        <v>0</v>
      </c>
      <c r="R35">
        <f t="shared" si="14"/>
        <v>1</v>
      </c>
    </row>
    <row r="36" spans="1:18" x14ac:dyDescent="0.25">
      <c r="A36">
        <v>35</v>
      </c>
      <c r="B36" t="s">
        <v>117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 s="11">
        <f t="shared" si="1"/>
        <v>0</v>
      </c>
      <c r="J36" s="14">
        <f t="shared" si="2"/>
        <v>0</v>
      </c>
      <c r="K36" s="14">
        <f t="shared" si="3"/>
        <v>0</v>
      </c>
      <c r="M36">
        <f t="shared" si="4"/>
        <v>0</v>
      </c>
      <c r="N36">
        <f t="shared" si="10"/>
        <v>0</v>
      </c>
      <c r="O36">
        <f t="shared" si="11"/>
        <v>0</v>
      </c>
      <c r="P36">
        <f t="shared" si="12"/>
        <v>0</v>
      </c>
      <c r="Q36">
        <f t="shared" si="13"/>
        <v>0</v>
      </c>
      <c r="R36">
        <f t="shared" si="14"/>
        <v>0</v>
      </c>
    </row>
    <row r="37" spans="1:18" x14ac:dyDescent="0.25">
      <c r="A37">
        <v>36</v>
      </c>
      <c r="B37" t="s">
        <v>98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 s="11">
        <f t="shared" si="1"/>
        <v>0</v>
      </c>
      <c r="J37" s="14">
        <f t="shared" si="2"/>
        <v>0</v>
      </c>
      <c r="K37" s="14">
        <f t="shared" si="3"/>
        <v>0</v>
      </c>
      <c r="M37">
        <f t="shared" si="4"/>
        <v>0</v>
      </c>
      <c r="N37">
        <f t="shared" si="10"/>
        <v>0</v>
      </c>
      <c r="O37">
        <f t="shared" si="11"/>
        <v>0</v>
      </c>
      <c r="P37">
        <f t="shared" si="12"/>
        <v>0</v>
      </c>
      <c r="Q37">
        <f t="shared" si="13"/>
        <v>0</v>
      </c>
      <c r="R37">
        <f t="shared" si="14"/>
        <v>0</v>
      </c>
    </row>
    <row r="38" spans="1:18" x14ac:dyDescent="0.25">
      <c r="A38">
        <v>37</v>
      </c>
      <c r="B38" t="s">
        <v>86</v>
      </c>
      <c r="C38">
        <v>0</v>
      </c>
      <c r="D38">
        <v>0</v>
      </c>
      <c r="E38">
        <v>2</v>
      </c>
      <c r="F38">
        <v>1</v>
      </c>
      <c r="G38">
        <v>0</v>
      </c>
      <c r="H38">
        <v>1</v>
      </c>
      <c r="I38" s="11">
        <f t="shared" si="1"/>
        <v>50</v>
      </c>
      <c r="J38" s="14">
        <f t="shared" si="2"/>
        <v>0</v>
      </c>
      <c r="K38" s="14">
        <f t="shared" si="3"/>
        <v>0</v>
      </c>
      <c r="M38">
        <f t="shared" si="4"/>
        <v>0</v>
      </c>
      <c r="N38">
        <f t="shared" si="10"/>
        <v>0</v>
      </c>
      <c r="O38">
        <f t="shared" si="11"/>
        <v>2</v>
      </c>
      <c r="P38">
        <f t="shared" si="12"/>
        <v>1</v>
      </c>
      <c r="Q38">
        <f t="shared" si="13"/>
        <v>0</v>
      </c>
      <c r="R38">
        <f t="shared" si="14"/>
        <v>1</v>
      </c>
    </row>
    <row r="39" spans="1:18" x14ac:dyDescent="0.25">
      <c r="A39">
        <v>38</v>
      </c>
      <c r="B39" t="s">
        <v>68</v>
      </c>
      <c r="C39">
        <v>6</v>
      </c>
      <c r="D39">
        <v>1.2</v>
      </c>
      <c r="E39">
        <v>4</v>
      </c>
      <c r="F39">
        <v>4</v>
      </c>
      <c r="G39">
        <v>0</v>
      </c>
      <c r="H39">
        <v>0</v>
      </c>
      <c r="I39" s="11">
        <f t="shared" si="1"/>
        <v>100</v>
      </c>
      <c r="J39" s="14">
        <f t="shared" si="2"/>
        <v>1.5</v>
      </c>
      <c r="K39" s="14">
        <f t="shared" si="3"/>
        <v>0.3</v>
      </c>
      <c r="M39">
        <f t="shared" si="4"/>
        <v>6</v>
      </c>
      <c r="N39">
        <f t="shared" si="10"/>
        <v>1.2</v>
      </c>
      <c r="O39">
        <f t="shared" si="11"/>
        <v>4</v>
      </c>
      <c r="P39">
        <f t="shared" si="12"/>
        <v>4</v>
      </c>
      <c r="Q39">
        <f t="shared" si="13"/>
        <v>0</v>
      </c>
      <c r="R39">
        <f t="shared" si="14"/>
        <v>0</v>
      </c>
    </row>
    <row r="40" spans="1:18" x14ac:dyDescent="0.25">
      <c r="A40">
        <v>39</v>
      </c>
      <c r="B40" t="s">
        <v>87</v>
      </c>
      <c r="C40">
        <v>-6.5</v>
      </c>
      <c r="D40">
        <v>-1.2999999999999998</v>
      </c>
      <c r="E40">
        <v>4</v>
      </c>
      <c r="F40">
        <v>1</v>
      </c>
      <c r="G40">
        <v>0</v>
      </c>
      <c r="H40">
        <v>3</v>
      </c>
      <c r="I40" s="11">
        <f t="shared" si="1"/>
        <v>25</v>
      </c>
      <c r="J40" s="14">
        <f t="shared" si="2"/>
        <v>-1.625</v>
      </c>
      <c r="K40" s="14">
        <f t="shared" si="3"/>
        <v>-0.32499999999999996</v>
      </c>
      <c r="M40">
        <f t="shared" si="4"/>
        <v>-6.5</v>
      </c>
      <c r="N40">
        <f t="shared" si="10"/>
        <v>-1.2999999999999998</v>
      </c>
      <c r="O40">
        <f t="shared" si="11"/>
        <v>4</v>
      </c>
      <c r="P40">
        <f t="shared" si="12"/>
        <v>1</v>
      </c>
      <c r="Q40">
        <f t="shared" si="13"/>
        <v>0</v>
      </c>
      <c r="R40">
        <f t="shared" si="14"/>
        <v>3</v>
      </c>
    </row>
    <row r="41" spans="1:18" x14ac:dyDescent="0.25">
      <c r="A41">
        <v>40</v>
      </c>
      <c r="B41" t="s">
        <v>118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 s="11">
        <f t="shared" si="1"/>
        <v>0</v>
      </c>
      <c r="J41" s="14">
        <f t="shared" si="2"/>
        <v>0</v>
      </c>
      <c r="K41" s="14">
        <f t="shared" si="3"/>
        <v>0</v>
      </c>
      <c r="M41">
        <f t="shared" si="4"/>
        <v>0</v>
      </c>
      <c r="N41">
        <f t="shared" si="10"/>
        <v>0</v>
      </c>
      <c r="O41">
        <f t="shared" si="11"/>
        <v>0</v>
      </c>
      <c r="P41">
        <f t="shared" si="12"/>
        <v>0</v>
      </c>
      <c r="Q41">
        <f t="shared" si="13"/>
        <v>0</v>
      </c>
      <c r="R41">
        <f t="shared" si="14"/>
        <v>0</v>
      </c>
    </row>
    <row r="42" spans="1:18" x14ac:dyDescent="0.25">
      <c r="A42">
        <v>41</v>
      </c>
      <c r="B42" t="s">
        <v>119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 s="11">
        <f t="shared" si="1"/>
        <v>0</v>
      </c>
      <c r="J42" s="14">
        <f t="shared" si="2"/>
        <v>0</v>
      </c>
      <c r="K42" s="14">
        <f t="shared" si="3"/>
        <v>0</v>
      </c>
      <c r="M42">
        <f t="shared" si="4"/>
        <v>0</v>
      </c>
      <c r="N42">
        <f t="shared" si="10"/>
        <v>0</v>
      </c>
      <c r="O42">
        <f t="shared" si="11"/>
        <v>0</v>
      </c>
      <c r="P42">
        <f t="shared" si="12"/>
        <v>0</v>
      </c>
      <c r="Q42">
        <f t="shared" si="13"/>
        <v>0</v>
      </c>
      <c r="R42">
        <f t="shared" si="14"/>
        <v>0</v>
      </c>
    </row>
    <row r="43" spans="1:18" x14ac:dyDescent="0.25">
      <c r="A43">
        <v>42</v>
      </c>
      <c r="B43" t="s">
        <v>125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 s="11">
        <f t="shared" si="1"/>
        <v>0</v>
      </c>
      <c r="J43" s="14">
        <f t="shared" si="2"/>
        <v>0</v>
      </c>
      <c r="K43" s="14">
        <f t="shared" si="3"/>
        <v>0</v>
      </c>
      <c r="M43">
        <f t="shared" si="4"/>
        <v>0</v>
      </c>
      <c r="N43">
        <f t="shared" si="10"/>
        <v>0</v>
      </c>
      <c r="O43">
        <f t="shared" si="11"/>
        <v>0</v>
      </c>
      <c r="P43">
        <f t="shared" si="12"/>
        <v>0</v>
      </c>
      <c r="Q43">
        <f t="shared" si="13"/>
        <v>0</v>
      </c>
      <c r="R43">
        <f t="shared" si="14"/>
        <v>0</v>
      </c>
    </row>
    <row r="44" spans="1:18" x14ac:dyDescent="0.25">
      <c r="A44">
        <v>43</v>
      </c>
      <c r="B44" t="s">
        <v>79</v>
      </c>
      <c r="C44">
        <v>1.9000000000000004</v>
      </c>
      <c r="D44">
        <v>0.37999999999999989</v>
      </c>
      <c r="E44">
        <v>5</v>
      </c>
      <c r="F44">
        <v>3</v>
      </c>
      <c r="G44">
        <v>0</v>
      </c>
      <c r="H44">
        <v>2</v>
      </c>
      <c r="I44" s="11">
        <f t="shared" si="1"/>
        <v>60</v>
      </c>
      <c r="J44" s="14">
        <f t="shared" si="2"/>
        <v>0.38000000000000006</v>
      </c>
      <c r="K44" s="14">
        <f t="shared" si="3"/>
        <v>7.5999999999999984E-2</v>
      </c>
      <c r="M44">
        <f t="shared" si="4"/>
        <v>1.9000000000000004</v>
      </c>
      <c r="N44">
        <f t="shared" si="10"/>
        <v>0.37999999999999989</v>
      </c>
      <c r="O44">
        <f t="shared" si="11"/>
        <v>5</v>
      </c>
      <c r="P44">
        <f t="shared" si="12"/>
        <v>3</v>
      </c>
      <c r="Q44">
        <f t="shared" si="13"/>
        <v>0</v>
      </c>
      <c r="R44">
        <f t="shared" si="14"/>
        <v>2</v>
      </c>
    </row>
    <row r="45" spans="1:18" x14ac:dyDescent="0.25">
      <c r="A45">
        <v>44</v>
      </c>
      <c r="B45" t="s">
        <v>106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 s="11">
        <f t="shared" si="1"/>
        <v>0</v>
      </c>
      <c r="J45" s="14">
        <f t="shared" si="2"/>
        <v>0</v>
      </c>
      <c r="K45" s="14">
        <f t="shared" si="3"/>
        <v>0</v>
      </c>
      <c r="M45">
        <f t="shared" si="4"/>
        <v>0</v>
      </c>
      <c r="N45">
        <f t="shared" si="10"/>
        <v>0</v>
      </c>
      <c r="O45">
        <f t="shared" si="11"/>
        <v>0</v>
      </c>
      <c r="P45">
        <f t="shared" si="12"/>
        <v>0</v>
      </c>
      <c r="Q45">
        <f t="shared" si="13"/>
        <v>0</v>
      </c>
      <c r="R45">
        <f t="shared" si="14"/>
        <v>0</v>
      </c>
    </row>
    <row r="46" spans="1:18" x14ac:dyDescent="0.25">
      <c r="A46">
        <v>45</v>
      </c>
      <c r="B46" t="s">
        <v>97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 s="11">
        <f t="shared" si="1"/>
        <v>0</v>
      </c>
      <c r="J46" s="14">
        <f t="shared" si="2"/>
        <v>0</v>
      </c>
      <c r="K46" s="14">
        <f t="shared" si="3"/>
        <v>0</v>
      </c>
      <c r="M46">
        <f t="shared" si="4"/>
        <v>0</v>
      </c>
      <c r="N46">
        <f t="shared" si="10"/>
        <v>0</v>
      </c>
      <c r="O46">
        <f t="shared" si="11"/>
        <v>0</v>
      </c>
      <c r="P46">
        <f t="shared" si="12"/>
        <v>0</v>
      </c>
      <c r="Q46">
        <f t="shared" si="13"/>
        <v>0</v>
      </c>
      <c r="R46">
        <f t="shared" si="14"/>
        <v>0</v>
      </c>
    </row>
    <row r="47" spans="1:18" x14ac:dyDescent="0.25">
      <c r="A47">
        <v>46</v>
      </c>
      <c r="B47" t="s">
        <v>105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 s="11">
        <f t="shared" si="1"/>
        <v>0</v>
      </c>
      <c r="J47" s="14">
        <f t="shared" si="2"/>
        <v>0</v>
      </c>
      <c r="K47" s="14">
        <f t="shared" si="3"/>
        <v>0</v>
      </c>
      <c r="M47">
        <f t="shared" si="4"/>
        <v>0</v>
      </c>
      <c r="N47">
        <f t="shared" si="10"/>
        <v>0</v>
      </c>
      <c r="O47">
        <f t="shared" si="11"/>
        <v>0</v>
      </c>
      <c r="P47">
        <f t="shared" si="12"/>
        <v>0</v>
      </c>
      <c r="Q47">
        <f t="shared" si="13"/>
        <v>0</v>
      </c>
      <c r="R47">
        <f t="shared" si="14"/>
        <v>0</v>
      </c>
    </row>
    <row r="48" spans="1:18" x14ac:dyDescent="0.25">
      <c r="A48">
        <v>47</v>
      </c>
      <c r="B48" t="s">
        <v>54</v>
      </c>
      <c r="C48">
        <v>-12</v>
      </c>
      <c r="D48">
        <v>-2.4</v>
      </c>
      <c r="E48">
        <v>2</v>
      </c>
      <c r="F48">
        <v>0</v>
      </c>
      <c r="G48">
        <v>0</v>
      </c>
      <c r="H48">
        <v>2</v>
      </c>
      <c r="I48" s="11">
        <f t="shared" si="1"/>
        <v>0</v>
      </c>
      <c r="J48" s="14">
        <f t="shared" si="2"/>
        <v>-6</v>
      </c>
      <c r="K48" s="14">
        <f t="shared" si="3"/>
        <v>-1.2</v>
      </c>
      <c r="M48">
        <f t="shared" si="4"/>
        <v>-12</v>
      </c>
      <c r="N48">
        <f t="shared" si="10"/>
        <v>-2.4</v>
      </c>
      <c r="O48">
        <f t="shared" si="11"/>
        <v>2</v>
      </c>
      <c r="P48">
        <f t="shared" si="12"/>
        <v>0</v>
      </c>
      <c r="Q48">
        <f t="shared" si="13"/>
        <v>0</v>
      </c>
      <c r="R48">
        <f t="shared" si="14"/>
        <v>2</v>
      </c>
    </row>
    <row r="49" spans="1:18" x14ac:dyDescent="0.25">
      <c r="A49">
        <v>48</v>
      </c>
      <c r="B49" t="s">
        <v>75</v>
      </c>
      <c r="C49">
        <v>-2.9000000000000004</v>
      </c>
      <c r="D49">
        <v>-0.58000000000000007</v>
      </c>
      <c r="E49">
        <v>5</v>
      </c>
      <c r="F49">
        <v>3</v>
      </c>
      <c r="G49">
        <v>0</v>
      </c>
      <c r="H49">
        <v>2</v>
      </c>
      <c r="I49" s="11">
        <f t="shared" si="1"/>
        <v>60</v>
      </c>
      <c r="J49" s="14">
        <f t="shared" si="2"/>
        <v>-0.58000000000000007</v>
      </c>
      <c r="K49" s="14">
        <f t="shared" si="3"/>
        <v>-0.11600000000000002</v>
      </c>
      <c r="M49">
        <f t="shared" si="4"/>
        <v>-2.9000000000000004</v>
      </c>
      <c r="N49">
        <f t="shared" si="10"/>
        <v>-0.58000000000000007</v>
      </c>
      <c r="O49">
        <f t="shared" si="11"/>
        <v>5</v>
      </c>
      <c r="P49">
        <f t="shared" si="12"/>
        <v>3</v>
      </c>
      <c r="Q49">
        <f t="shared" si="13"/>
        <v>0</v>
      </c>
      <c r="R49">
        <f t="shared" si="14"/>
        <v>2</v>
      </c>
    </row>
    <row r="50" spans="1:18" x14ac:dyDescent="0.25">
      <c r="A50">
        <v>49</v>
      </c>
      <c r="B50" t="s">
        <v>108</v>
      </c>
      <c r="C50">
        <v>-1.7</v>
      </c>
      <c r="D50">
        <v>-0.33999999999999997</v>
      </c>
      <c r="E50">
        <v>2</v>
      </c>
      <c r="F50">
        <v>1</v>
      </c>
      <c r="G50">
        <v>0</v>
      </c>
      <c r="H50">
        <v>1</v>
      </c>
      <c r="I50" s="11">
        <f t="shared" si="1"/>
        <v>50</v>
      </c>
      <c r="J50" s="14">
        <f t="shared" si="2"/>
        <v>-0.85</v>
      </c>
      <c r="K50" s="14">
        <f t="shared" si="3"/>
        <v>-0.16999999999999998</v>
      </c>
      <c r="M50">
        <f t="shared" si="4"/>
        <v>-1.7</v>
      </c>
      <c r="N50">
        <f t="shared" si="10"/>
        <v>-0.33999999999999997</v>
      </c>
      <c r="O50">
        <f t="shared" si="11"/>
        <v>2</v>
      </c>
      <c r="P50">
        <f t="shared" si="12"/>
        <v>1</v>
      </c>
      <c r="Q50">
        <f t="shared" ref="Q50:Q67" si="15">G50+X50</f>
        <v>0</v>
      </c>
      <c r="R50">
        <f t="shared" ref="R50:R67" si="16">H50+Y50</f>
        <v>1</v>
      </c>
    </row>
    <row r="51" spans="1:18" x14ac:dyDescent="0.25">
      <c r="A51">
        <v>50</v>
      </c>
      <c r="B51" t="s">
        <v>71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 s="11">
        <f t="shared" si="1"/>
        <v>0</v>
      </c>
      <c r="J51" s="14">
        <f t="shared" si="2"/>
        <v>0</v>
      </c>
      <c r="K51" s="14">
        <f t="shared" si="3"/>
        <v>0</v>
      </c>
      <c r="M51">
        <f t="shared" si="4"/>
        <v>0</v>
      </c>
      <c r="N51">
        <f t="shared" si="10"/>
        <v>0</v>
      </c>
      <c r="O51">
        <f t="shared" si="11"/>
        <v>0</v>
      </c>
      <c r="P51">
        <f t="shared" si="12"/>
        <v>0</v>
      </c>
      <c r="Q51">
        <f t="shared" si="15"/>
        <v>0</v>
      </c>
      <c r="R51">
        <f t="shared" si="16"/>
        <v>0</v>
      </c>
    </row>
    <row r="52" spans="1:18" x14ac:dyDescent="0.25">
      <c r="A52">
        <v>51</v>
      </c>
      <c r="B52" t="s">
        <v>107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 s="11">
        <f t="shared" si="1"/>
        <v>0</v>
      </c>
      <c r="J52" s="14">
        <f t="shared" si="2"/>
        <v>0</v>
      </c>
      <c r="K52" s="14">
        <f t="shared" si="3"/>
        <v>0</v>
      </c>
      <c r="M52">
        <f t="shared" si="4"/>
        <v>0</v>
      </c>
      <c r="N52">
        <f t="shared" si="10"/>
        <v>0</v>
      </c>
      <c r="O52">
        <f t="shared" si="11"/>
        <v>0</v>
      </c>
      <c r="P52">
        <f t="shared" si="12"/>
        <v>0</v>
      </c>
      <c r="Q52">
        <f t="shared" si="15"/>
        <v>0</v>
      </c>
      <c r="R52">
        <f t="shared" si="16"/>
        <v>0</v>
      </c>
    </row>
    <row r="53" spans="1:18" x14ac:dyDescent="0.25">
      <c r="A53">
        <v>52</v>
      </c>
      <c r="B53" t="s">
        <v>78</v>
      </c>
      <c r="C53">
        <v>-3.1999999999999993</v>
      </c>
      <c r="D53">
        <v>-0.6399999999999999</v>
      </c>
      <c r="E53">
        <v>3</v>
      </c>
      <c r="F53">
        <v>1</v>
      </c>
      <c r="G53">
        <v>0</v>
      </c>
      <c r="H53">
        <v>2</v>
      </c>
      <c r="I53" s="11">
        <f t="shared" si="1"/>
        <v>33.333333333333329</v>
      </c>
      <c r="J53" s="14">
        <f t="shared" si="2"/>
        <v>-1.0666666666666664</v>
      </c>
      <c r="K53" s="14">
        <f t="shared" si="3"/>
        <v>-0.21333333333333329</v>
      </c>
      <c r="M53">
        <f t="shared" si="4"/>
        <v>-3.1999999999999993</v>
      </c>
      <c r="N53">
        <f t="shared" si="10"/>
        <v>-0.6399999999999999</v>
      </c>
      <c r="O53">
        <f t="shared" si="11"/>
        <v>3</v>
      </c>
      <c r="P53">
        <f t="shared" si="12"/>
        <v>1</v>
      </c>
      <c r="Q53">
        <f t="shared" si="15"/>
        <v>0</v>
      </c>
      <c r="R53">
        <f t="shared" si="16"/>
        <v>2</v>
      </c>
    </row>
    <row r="54" spans="1:18" x14ac:dyDescent="0.25">
      <c r="A54">
        <v>53</v>
      </c>
      <c r="B54" t="s">
        <v>109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 s="11">
        <f t="shared" si="1"/>
        <v>0</v>
      </c>
      <c r="J54" s="14">
        <f t="shared" si="2"/>
        <v>0</v>
      </c>
      <c r="K54" s="14">
        <f t="shared" si="3"/>
        <v>0</v>
      </c>
      <c r="M54">
        <f t="shared" si="4"/>
        <v>0</v>
      </c>
      <c r="N54">
        <f t="shared" si="10"/>
        <v>0</v>
      </c>
      <c r="O54">
        <f t="shared" si="11"/>
        <v>0</v>
      </c>
      <c r="P54">
        <f t="shared" si="12"/>
        <v>0</v>
      </c>
      <c r="Q54">
        <f t="shared" si="15"/>
        <v>0</v>
      </c>
      <c r="R54">
        <f t="shared" si="16"/>
        <v>0</v>
      </c>
    </row>
    <row r="55" spans="1:18" x14ac:dyDescent="0.25">
      <c r="A55">
        <v>54</v>
      </c>
      <c r="B55" t="s">
        <v>73</v>
      </c>
      <c r="C55">
        <v>1.6000000000000014</v>
      </c>
      <c r="D55">
        <v>0.32000000000000006</v>
      </c>
      <c r="E55">
        <v>6</v>
      </c>
      <c r="F55">
        <v>2</v>
      </c>
      <c r="G55">
        <v>0</v>
      </c>
      <c r="H55">
        <v>4</v>
      </c>
      <c r="I55" s="11">
        <f t="shared" si="1"/>
        <v>33.333333333333329</v>
      </c>
      <c r="J55" s="14">
        <f t="shared" si="2"/>
        <v>0.26666666666666689</v>
      </c>
      <c r="K55" s="14">
        <f t="shared" si="3"/>
        <v>5.3333333333333344E-2</v>
      </c>
      <c r="M55">
        <f t="shared" si="4"/>
        <v>1.6000000000000014</v>
      </c>
      <c r="N55">
        <f t="shared" si="10"/>
        <v>0.32000000000000006</v>
      </c>
      <c r="O55">
        <f t="shared" si="11"/>
        <v>6</v>
      </c>
      <c r="P55">
        <f t="shared" si="12"/>
        <v>2</v>
      </c>
      <c r="Q55">
        <f t="shared" si="15"/>
        <v>0</v>
      </c>
      <c r="R55">
        <f t="shared" si="16"/>
        <v>4</v>
      </c>
    </row>
    <row r="56" spans="1:18" x14ac:dyDescent="0.25">
      <c r="A56">
        <v>55</v>
      </c>
      <c r="B56" t="s">
        <v>114</v>
      </c>
      <c r="C56">
        <v>-1.2</v>
      </c>
      <c r="D56">
        <v>-0.24</v>
      </c>
      <c r="E56">
        <v>1</v>
      </c>
      <c r="F56">
        <v>0</v>
      </c>
      <c r="G56">
        <v>0</v>
      </c>
      <c r="H56">
        <v>1</v>
      </c>
      <c r="I56" s="11">
        <f t="shared" si="1"/>
        <v>0</v>
      </c>
      <c r="J56" s="14">
        <f t="shared" si="2"/>
        <v>-1.2</v>
      </c>
      <c r="K56" s="14">
        <f t="shared" si="3"/>
        <v>-0.24</v>
      </c>
      <c r="M56">
        <f t="shared" si="4"/>
        <v>-1.2</v>
      </c>
      <c r="N56">
        <f t="shared" si="10"/>
        <v>-0.24</v>
      </c>
      <c r="O56">
        <f t="shared" si="11"/>
        <v>1</v>
      </c>
      <c r="P56">
        <f t="shared" si="12"/>
        <v>0</v>
      </c>
      <c r="Q56">
        <f t="shared" si="15"/>
        <v>0</v>
      </c>
      <c r="R56">
        <f t="shared" si="16"/>
        <v>1</v>
      </c>
    </row>
    <row r="57" spans="1:18" x14ac:dyDescent="0.25">
      <c r="A57">
        <v>56</v>
      </c>
      <c r="B57" t="s">
        <v>110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 s="11">
        <f t="shared" si="1"/>
        <v>0</v>
      </c>
      <c r="J57" s="14">
        <f t="shared" si="2"/>
        <v>0</v>
      </c>
      <c r="K57" s="14">
        <f t="shared" si="3"/>
        <v>0</v>
      </c>
      <c r="M57">
        <f t="shared" si="4"/>
        <v>0</v>
      </c>
      <c r="N57">
        <f t="shared" si="10"/>
        <v>0</v>
      </c>
      <c r="O57">
        <f t="shared" si="11"/>
        <v>0</v>
      </c>
      <c r="P57">
        <f t="shared" si="12"/>
        <v>0</v>
      </c>
      <c r="Q57">
        <f t="shared" si="15"/>
        <v>0</v>
      </c>
      <c r="R57">
        <f t="shared" si="16"/>
        <v>0</v>
      </c>
    </row>
    <row r="58" spans="1:18" x14ac:dyDescent="0.25">
      <c r="A58">
        <v>57</v>
      </c>
      <c r="B58" t="s">
        <v>111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 s="11">
        <f t="shared" si="1"/>
        <v>0</v>
      </c>
      <c r="J58" s="14">
        <f t="shared" si="2"/>
        <v>0</v>
      </c>
      <c r="K58" s="14">
        <f t="shared" si="3"/>
        <v>0</v>
      </c>
      <c r="M58">
        <f t="shared" si="4"/>
        <v>0</v>
      </c>
      <c r="N58">
        <f t="shared" si="10"/>
        <v>0</v>
      </c>
      <c r="O58">
        <f t="shared" si="11"/>
        <v>0</v>
      </c>
      <c r="P58">
        <f t="shared" si="12"/>
        <v>0</v>
      </c>
      <c r="Q58">
        <f t="shared" si="15"/>
        <v>0</v>
      </c>
      <c r="R58">
        <f t="shared" si="16"/>
        <v>0</v>
      </c>
    </row>
    <row r="59" spans="1:18" x14ac:dyDescent="0.25">
      <c r="A59">
        <v>58</v>
      </c>
      <c r="B59" t="s">
        <v>113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 s="11">
        <f t="shared" si="1"/>
        <v>0</v>
      </c>
      <c r="J59" s="14">
        <f t="shared" si="2"/>
        <v>0</v>
      </c>
      <c r="K59" s="14">
        <f t="shared" si="3"/>
        <v>0</v>
      </c>
      <c r="M59">
        <f t="shared" si="4"/>
        <v>0</v>
      </c>
      <c r="N59">
        <f t="shared" si="10"/>
        <v>0</v>
      </c>
      <c r="O59">
        <f t="shared" si="11"/>
        <v>0</v>
      </c>
      <c r="P59">
        <f t="shared" si="12"/>
        <v>0</v>
      </c>
      <c r="Q59">
        <f t="shared" si="15"/>
        <v>0</v>
      </c>
      <c r="R59">
        <f t="shared" si="16"/>
        <v>0</v>
      </c>
    </row>
    <row r="60" spans="1:18" x14ac:dyDescent="0.25">
      <c r="A60">
        <v>59</v>
      </c>
      <c r="B60" t="s">
        <v>115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 s="11">
        <f t="shared" si="1"/>
        <v>0</v>
      </c>
      <c r="J60" s="14">
        <f t="shared" si="2"/>
        <v>0</v>
      </c>
      <c r="K60" s="14">
        <f t="shared" si="3"/>
        <v>0</v>
      </c>
      <c r="M60">
        <f t="shared" si="4"/>
        <v>0</v>
      </c>
      <c r="N60">
        <f t="shared" si="10"/>
        <v>0</v>
      </c>
      <c r="O60">
        <f t="shared" si="11"/>
        <v>0</v>
      </c>
      <c r="P60">
        <f t="shared" si="12"/>
        <v>0</v>
      </c>
      <c r="Q60">
        <f t="shared" si="15"/>
        <v>0</v>
      </c>
      <c r="R60">
        <f t="shared" si="16"/>
        <v>0</v>
      </c>
    </row>
    <row r="61" spans="1:18" x14ac:dyDescent="0.25">
      <c r="A61">
        <v>60</v>
      </c>
      <c r="B61" t="s">
        <v>112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 s="11">
        <f t="shared" si="1"/>
        <v>0</v>
      </c>
      <c r="J61" s="14">
        <f t="shared" si="2"/>
        <v>0</v>
      </c>
      <c r="K61" s="14">
        <f t="shared" si="3"/>
        <v>0</v>
      </c>
      <c r="M61">
        <f t="shared" si="4"/>
        <v>0</v>
      </c>
      <c r="N61">
        <f t="shared" si="10"/>
        <v>0</v>
      </c>
      <c r="O61">
        <f t="shared" si="11"/>
        <v>0</v>
      </c>
      <c r="P61">
        <f t="shared" si="12"/>
        <v>0</v>
      </c>
      <c r="Q61">
        <f t="shared" si="15"/>
        <v>0</v>
      </c>
      <c r="R61">
        <f t="shared" si="16"/>
        <v>0</v>
      </c>
    </row>
    <row r="62" spans="1:18" x14ac:dyDescent="0.25">
      <c r="A62">
        <v>61</v>
      </c>
      <c r="B62" t="s">
        <v>116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 s="11">
        <f t="shared" si="1"/>
        <v>0</v>
      </c>
      <c r="J62" s="14">
        <f t="shared" si="2"/>
        <v>0</v>
      </c>
      <c r="K62" s="14">
        <f t="shared" si="3"/>
        <v>0</v>
      </c>
      <c r="M62">
        <f t="shared" si="4"/>
        <v>0</v>
      </c>
      <c r="N62">
        <f t="shared" si="10"/>
        <v>0</v>
      </c>
      <c r="O62">
        <f t="shared" si="11"/>
        <v>0</v>
      </c>
      <c r="P62">
        <f t="shared" si="12"/>
        <v>0</v>
      </c>
      <c r="Q62">
        <f t="shared" si="15"/>
        <v>0</v>
      </c>
      <c r="R62">
        <f t="shared" si="16"/>
        <v>0</v>
      </c>
    </row>
    <row r="63" spans="1:18" x14ac:dyDescent="0.25">
      <c r="A63">
        <v>62</v>
      </c>
      <c r="B63" t="s">
        <v>62</v>
      </c>
      <c r="C63">
        <v>-10.8</v>
      </c>
      <c r="D63">
        <v>-2.1599999999999997</v>
      </c>
      <c r="E63">
        <v>16</v>
      </c>
      <c r="F63">
        <v>8</v>
      </c>
      <c r="G63">
        <v>0</v>
      </c>
      <c r="H63">
        <v>8</v>
      </c>
      <c r="I63" s="11">
        <f t="shared" si="1"/>
        <v>50</v>
      </c>
      <c r="J63" s="14">
        <f t="shared" si="2"/>
        <v>-0.67500000000000004</v>
      </c>
      <c r="K63" s="14">
        <f t="shared" si="3"/>
        <v>-0.13499999999999998</v>
      </c>
      <c r="M63">
        <f t="shared" si="4"/>
        <v>-10.8</v>
      </c>
      <c r="N63">
        <f t="shared" si="10"/>
        <v>-2.1599999999999997</v>
      </c>
      <c r="O63">
        <f t="shared" si="11"/>
        <v>16</v>
      </c>
      <c r="P63">
        <f t="shared" si="12"/>
        <v>8</v>
      </c>
      <c r="Q63">
        <f t="shared" si="15"/>
        <v>0</v>
      </c>
      <c r="R63">
        <f t="shared" si="16"/>
        <v>8</v>
      </c>
    </row>
    <row r="64" spans="1:18" x14ac:dyDescent="0.25">
      <c r="A64">
        <v>63</v>
      </c>
      <c r="B64" t="s">
        <v>61</v>
      </c>
      <c r="C64">
        <v>35.200000000000003</v>
      </c>
      <c r="D64">
        <v>7.04</v>
      </c>
      <c r="E64">
        <v>26</v>
      </c>
      <c r="F64">
        <v>18</v>
      </c>
      <c r="G64">
        <v>0</v>
      </c>
      <c r="H64">
        <v>8</v>
      </c>
      <c r="I64" s="11">
        <f t="shared" si="1"/>
        <v>69.230769230769226</v>
      </c>
      <c r="J64" s="14">
        <f t="shared" si="2"/>
        <v>1.3538461538461539</v>
      </c>
      <c r="K64" s="14">
        <f t="shared" si="3"/>
        <v>0.27076923076923076</v>
      </c>
      <c r="M64">
        <f t="shared" si="4"/>
        <v>35.200000000000003</v>
      </c>
      <c r="N64">
        <f t="shared" si="10"/>
        <v>7.04</v>
      </c>
      <c r="O64">
        <f t="shared" si="11"/>
        <v>26</v>
      </c>
      <c r="P64">
        <f t="shared" si="12"/>
        <v>18</v>
      </c>
      <c r="Q64">
        <f t="shared" si="15"/>
        <v>0</v>
      </c>
      <c r="R64">
        <f t="shared" si="16"/>
        <v>8</v>
      </c>
    </row>
    <row r="65" spans="1:18" x14ac:dyDescent="0.25">
      <c r="A65">
        <v>64</v>
      </c>
      <c r="B65" t="s">
        <v>96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 s="11">
        <f t="shared" si="1"/>
        <v>0</v>
      </c>
      <c r="J65" s="14">
        <f t="shared" si="2"/>
        <v>0</v>
      </c>
      <c r="K65" s="14">
        <f t="shared" si="3"/>
        <v>0</v>
      </c>
      <c r="M65">
        <f t="shared" si="4"/>
        <v>0</v>
      </c>
      <c r="N65">
        <f t="shared" si="10"/>
        <v>0</v>
      </c>
      <c r="O65">
        <f t="shared" si="11"/>
        <v>0</v>
      </c>
      <c r="P65">
        <f t="shared" si="12"/>
        <v>0</v>
      </c>
      <c r="Q65">
        <f t="shared" si="15"/>
        <v>0</v>
      </c>
      <c r="R65">
        <f t="shared" si="16"/>
        <v>0</v>
      </c>
    </row>
    <row r="66" spans="1:18" x14ac:dyDescent="0.25">
      <c r="A66">
        <v>65</v>
      </c>
      <c r="B66" t="s">
        <v>63</v>
      </c>
      <c r="C66">
        <v>17.5</v>
      </c>
      <c r="D66">
        <v>3.4999999999999996</v>
      </c>
      <c r="E66">
        <v>10</v>
      </c>
      <c r="F66">
        <v>6</v>
      </c>
      <c r="G66">
        <v>1</v>
      </c>
      <c r="H66">
        <v>3</v>
      </c>
      <c r="I66" s="11">
        <f t="shared" si="1"/>
        <v>60</v>
      </c>
      <c r="J66" s="14">
        <f t="shared" si="2"/>
        <v>1.75</v>
      </c>
      <c r="K66" s="14">
        <f t="shared" si="3"/>
        <v>0.35</v>
      </c>
      <c r="M66">
        <f t="shared" si="4"/>
        <v>17.5</v>
      </c>
      <c r="N66">
        <f t="shared" si="10"/>
        <v>3.4999999999999996</v>
      </c>
      <c r="O66">
        <f t="shared" si="11"/>
        <v>10</v>
      </c>
      <c r="P66">
        <f t="shared" si="12"/>
        <v>6</v>
      </c>
      <c r="Q66">
        <f t="shared" si="15"/>
        <v>1</v>
      </c>
      <c r="R66">
        <f t="shared" si="16"/>
        <v>3</v>
      </c>
    </row>
    <row r="67" spans="1:18" x14ac:dyDescent="0.25">
      <c r="A67">
        <v>66</v>
      </c>
      <c r="B67" t="s">
        <v>104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 s="11">
        <f t="shared" ref="I67" si="17">IFERROR((F67/E67)*100,0)</f>
        <v>0</v>
      </c>
      <c r="J67" s="14">
        <f t="shared" ref="J67" si="18">IFERROR(C67/E67,0)</f>
        <v>0</v>
      </c>
      <c r="K67" s="14">
        <f t="shared" ref="K67" si="19">IFERROR(D67/E67,0)</f>
        <v>0</v>
      </c>
      <c r="M67">
        <f t="shared" ref="M67" si="20">C67+T67</f>
        <v>0</v>
      </c>
      <c r="N67">
        <f t="shared" si="10"/>
        <v>0</v>
      </c>
      <c r="O67">
        <f t="shared" si="11"/>
        <v>0</v>
      </c>
      <c r="P67">
        <f t="shared" si="12"/>
        <v>0</v>
      </c>
      <c r="Q67">
        <f t="shared" si="15"/>
        <v>0</v>
      </c>
      <c r="R67">
        <f t="shared" si="16"/>
        <v>0</v>
      </c>
    </row>
    <row r="75" spans="1:18" x14ac:dyDescent="0.25">
      <c r="B75" s="12"/>
    </row>
    <row r="76" spans="1:18" x14ac:dyDescent="0.25">
      <c r="B76" s="12"/>
    </row>
    <row r="77" spans="1:18" x14ac:dyDescent="0.25">
      <c r="B77" s="12"/>
    </row>
  </sheetData>
  <sortState xmlns:xlrd2="http://schemas.microsoft.com/office/spreadsheetml/2017/richdata2" ref="B2:B106">
    <sortCondition ref="B1:B106"/>
  </sortState>
  <conditionalFormatting sqref="C1:C1048576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K1048576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K1:K1048576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68"/>
  <sheetViews>
    <sheetView tabSelected="1" topLeftCell="A34" workbookViewId="0">
      <pane xSplit="1" topLeftCell="B1" activePane="topRight" state="frozen"/>
      <selection pane="topRight" activeCell="W57" sqref="W57"/>
    </sheetView>
  </sheetViews>
  <sheetFormatPr defaultRowHeight="15" x14ac:dyDescent="0.25"/>
  <cols>
    <col min="1" max="1" width="21.42578125" customWidth="1"/>
    <col min="8" max="28" width="6.28515625" style="15" customWidth="1"/>
  </cols>
  <sheetData>
    <row r="1" spans="1:8" x14ac:dyDescent="0.25">
      <c r="A1" t="s">
        <v>140</v>
      </c>
      <c r="C1">
        <v>500</v>
      </c>
    </row>
    <row r="2" spans="1:8" x14ac:dyDescent="0.25">
      <c r="A2" s="13"/>
      <c r="B2" t="s">
        <v>136</v>
      </c>
      <c r="C2" t="s">
        <v>137</v>
      </c>
      <c r="D2" t="s">
        <v>89</v>
      </c>
      <c r="E2" t="s">
        <v>91</v>
      </c>
      <c r="F2" t="s">
        <v>138</v>
      </c>
      <c r="G2" t="s">
        <v>92</v>
      </c>
      <c r="H2" s="15" t="s">
        <v>141</v>
      </c>
    </row>
    <row r="3" spans="1:8" x14ac:dyDescent="0.25">
      <c r="A3" t="s">
        <v>132</v>
      </c>
      <c r="B3">
        <f>SUM(H3:AB3)</f>
        <v>0</v>
      </c>
      <c r="C3">
        <f>(B3/$C$1)*100</f>
        <v>0</v>
      </c>
      <c r="D3">
        <f>COUNTA(H3:AB3)</f>
        <v>0</v>
      </c>
      <c r="E3">
        <f>COUNTIF(H3:AB3, "&gt;0")</f>
        <v>0</v>
      </c>
      <c r="F3">
        <f>COUNTIF(H3:AB3, "=0")</f>
        <v>0</v>
      </c>
      <c r="G3">
        <f>COUNTIF(H3:AB3, "&lt;0")</f>
        <v>0</v>
      </c>
    </row>
    <row r="4" spans="1:8" x14ac:dyDescent="0.25">
      <c r="A4" t="s">
        <v>100</v>
      </c>
      <c r="B4">
        <f t="shared" ref="B4:B67" si="0">SUM(H4:AB4)</f>
        <v>0</v>
      </c>
      <c r="C4">
        <f t="shared" ref="C4:C67" si="1">(B4/$C$1)*100</f>
        <v>0</v>
      </c>
      <c r="D4">
        <f t="shared" ref="D4:D67" si="2">COUNTA(H4:AB4)</f>
        <v>0</v>
      </c>
      <c r="E4">
        <f t="shared" ref="E4:E67" si="3">COUNTIF(H4:AB4, "&gt;0")</f>
        <v>0</v>
      </c>
      <c r="F4">
        <f t="shared" ref="F4:F67" si="4">COUNTIF(H4:AB4, "=0")</f>
        <v>0</v>
      </c>
      <c r="G4">
        <f t="shared" ref="G4:G67" si="5">COUNTIF(H4:AB4, "&lt;0")</f>
        <v>0</v>
      </c>
    </row>
    <row r="5" spans="1:8" x14ac:dyDescent="0.25">
      <c r="A5" t="s">
        <v>135</v>
      </c>
      <c r="B5">
        <f t="shared" si="0"/>
        <v>0</v>
      </c>
      <c r="C5">
        <f t="shared" si="1"/>
        <v>0</v>
      </c>
      <c r="D5">
        <f t="shared" si="2"/>
        <v>0</v>
      </c>
      <c r="E5">
        <f t="shared" si="3"/>
        <v>0</v>
      </c>
      <c r="F5">
        <f t="shared" si="4"/>
        <v>0</v>
      </c>
      <c r="G5">
        <f t="shared" si="5"/>
        <v>0</v>
      </c>
    </row>
    <row r="6" spans="1:8" x14ac:dyDescent="0.25">
      <c r="A6" t="s">
        <v>133</v>
      </c>
      <c r="B6">
        <f t="shared" si="0"/>
        <v>0</v>
      </c>
      <c r="C6">
        <f t="shared" si="1"/>
        <v>0</v>
      </c>
      <c r="D6">
        <f t="shared" si="2"/>
        <v>0</v>
      </c>
      <c r="E6">
        <f t="shared" si="3"/>
        <v>0</v>
      </c>
      <c r="F6">
        <f t="shared" si="4"/>
        <v>0</v>
      </c>
      <c r="G6">
        <f t="shared" si="5"/>
        <v>0</v>
      </c>
    </row>
    <row r="7" spans="1:8" x14ac:dyDescent="0.25">
      <c r="A7" t="s">
        <v>134</v>
      </c>
      <c r="B7">
        <f t="shared" si="0"/>
        <v>0</v>
      </c>
      <c r="C7">
        <f t="shared" si="1"/>
        <v>0</v>
      </c>
      <c r="D7">
        <f t="shared" si="2"/>
        <v>0</v>
      </c>
      <c r="E7">
        <f t="shared" si="3"/>
        <v>0</v>
      </c>
      <c r="F7">
        <f t="shared" si="4"/>
        <v>0</v>
      </c>
      <c r="G7">
        <f t="shared" si="5"/>
        <v>0</v>
      </c>
    </row>
    <row r="8" spans="1:8" x14ac:dyDescent="0.25">
      <c r="A8" t="s">
        <v>74</v>
      </c>
      <c r="B8">
        <f t="shared" si="0"/>
        <v>0</v>
      </c>
      <c r="C8">
        <f t="shared" si="1"/>
        <v>0</v>
      </c>
      <c r="D8">
        <f t="shared" si="2"/>
        <v>0</v>
      </c>
      <c r="E8">
        <f t="shared" si="3"/>
        <v>0</v>
      </c>
      <c r="F8">
        <f t="shared" si="4"/>
        <v>0</v>
      </c>
      <c r="G8">
        <f t="shared" si="5"/>
        <v>0</v>
      </c>
    </row>
    <row r="9" spans="1:8" x14ac:dyDescent="0.25">
      <c r="A9" t="s">
        <v>99</v>
      </c>
      <c r="B9">
        <f t="shared" si="0"/>
        <v>0</v>
      </c>
      <c r="C9">
        <f t="shared" si="1"/>
        <v>0</v>
      </c>
      <c r="D9">
        <f t="shared" si="2"/>
        <v>0</v>
      </c>
      <c r="E9">
        <f t="shared" si="3"/>
        <v>0</v>
      </c>
      <c r="F9">
        <f t="shared" si="4"/>
        <v>0</v>
      </c>
      <c r="G9">
        <f t="shared" si="5"/>
        <v>0</v>
      </c>
    </row>
    <row r="10" spans="1:8" x14ac:dyDescent="0.25">
      <c r="A10" t="s">
        <v>101</v>
      </c>
      <c r="B10">
        <f t="shared" si="0"/>
        <v>0</v>
      </c>
      <c r="C10">
        <f t="shared" si="1"/>
        <v>0</v>
      </c>
      <c r="D10">
        <f t="shared" si="2"/>
        <v>0</v>
      </c>
      <c r="E10">
        <f t="shared" si="3"/>
        <v>0</v>
      </c>
      <c r="F10">
        <f t="shared" si="4"/>
        <v>0</v>
      </c>
      <c r="G10">
        <f t="shared" si="5"/>
        <v>0</v>
      </c>
    </row>
    <row r="11" spans="1:8" x14ac:dyDescent="0.25">
      <c r="A11" t="s">
        <v>77</v>
      </c>
      <c r="B11">
        <f t="shared" si="0"/>
        <v>0</v>
      </c>
      <c r="C11">
        <f t="shared" si="1"/>
        <v>0</v>
      </c>
      <c r="D11">
        <f t="shared" si="2"/>
        <v>0</v>
      </c>
      <c r="E11">
        <f t="shared" si="3"/>
        <v>0</v>
      </c>
      <c r="F11">
        <f t="shared" si="4"/>
        <v>0</v>
      </c>
      <c r="G11">
        <f t="shared" si="5"/>
        <v>0</v>
      </c>
    </row>
    <row r="12" spans="1:8" x14ac:dyDescent="0.25">
      <c r="A12" t="s">
        <v>72</v>
      </c>
      <c r="B12">
        <f t="shared" si="0"/>
        <v>0</v>
      </c>
      <c r="C12">
        <f t="shared" si="1"/>
        <v>0</v>
      </c>
      <c r="D12">
        <f t="shared" si="2"/>
        <v>0</v>
      </c>
      <c r="E12">
        <f t="shared" si="3"/>
        <v>0</v>
      </c>
      <c r="F12">
        <f t="shared" si="4"/>
        <v>0</v>
      </c>
      <c r="G12">
        <f t="shared" si="5"/>
        <v>0</v>
      </c>
    </row>
    <row r="13" spans="1:8" x14ac:dyDescent="0.25">
      <c r="A13" t="s">
        <v>102</v>
      </c>
      <c r="B13">
        <f t="shared" si="0"/>
        <v>0</v>
      </c>
      <c r="C13">
        <f t="shared" si="1"/>
        <v>0</v>
      </c>
      <c r="D13">
        <f t="shared" si="2"/>
        <v>0</v>
      </c>
      <c r="E13">
        <f t="shared" si="3"/>
        <v>0</v>
      </c>
      <c r="F13">
        <f t="shared" si="4"/>
        <v>0</v>
      </c>
      <c r="G13">
        <f t="shared" si="5"/>
        <v>0</v>
      </c>
    </row>
    <row r="14" spans="1:8" x14ac:dyDescent="0.25">
      <c r="A14" t="s">
        <v>76</v>
      </c>
      <c r="B14">
        <f t="shared" si="0"/>
        <v>0</v>
      </c>
      <c r="C14">
        <f t="shared" si="1"/>
        <v>0</v>
      </c>
      <c r="D14">
        <f t="shared" si="2"/>
        <v>0</v>
      </c>
      <c r="E14">
        <f t="shared" si="3"/>
        <v>0</v>
      </c>
      <c r="F14">
        <f t="shared" si="4"/>
        <v>0</v>
      </c>
      <c r="G14">
        <f t="shared" si="5"/>
        <v>0</v>
      </c>
    </row>
    <row r="15" spans="1:8" x14ac:dyDescent="0.25">
      <c r="A15" t="s">
        <v>60</v>
      </c>
      <c r="B15">
        <f t="shared" si="0"/>
        <v>0</v>
      </c>
      <c r="C15">
        <f t="shared" si="1"/>
        <v>0</v>
      </c>
      <c r="D15">
        <f t="shared" si="2"/>
        <v>0</v>
      </c>
      <c r="E15">
        <f t="shared" si="3"/>
        <v>0</v>
      </c>
      <c r="F15">
        <f t="shared" si="4"/>
        <v>0</v>
      </c>
      <c r="G15">
        <f t="shared" si="5"/>
        <v>0</v>
      </c>
    </row>
    <row r="16" spans="1:8" x14ac:dyDescent="0.25">
      <c r="A16" t="s">
        <v>67</v>
      </c>
      <c r="B16">
        <f t="shared" si="0"/>
        <v>0</v>
      </c>
      <c r="C16">
        <f t="shared" si="1"/>
        <v>0</v>
      </c>
      <c r="D16">
        <f t="shared" si="2"/>
        <v>0</v>
      </c>
      <c r="E16">
        <f t="shared" si="3"/>
        <v>0</v>
      </c>
      <c r="F16">
        <f t="shared" si="4"/>
        <v>0</v>
      </c>
      <c r="G16">
        <f t="shared" si="5"/>
        <v>0</v>
      </c>
    </row>
    <row r="17" spans="1:7" x14ac:dyDescent="0.25">
      <c r="A17" t="s">
        <v>94</v>
      </c>
      <c r="B17">
        <f t="shared" si="0"/>
        <v>0</v>
      </c>
      <c r="C17">
        <f t="shared" si="1"/>
        <v>0</v>
      </c>
      <c r="D17">
        <f t="shared" si="2"/>
        <v>0</v>
      </c>
      <c r="E17">
        <f t="shared" si="3"/>
        <v>0</v>
      </c>
      <c r="F17">
        <f t="shared" si="4"/>
        <v>0</v>
      </c>
      <c r="G17">
        <f t="shared" si="5"/>
        <v>0</v>
      </c>
    </row>
    <row r="18" spans="1:7" x14ac:dyDescent="0.25">
      <c r="A18" t="s">
        <v>95</v>
      </c>
      <c r="B18">
        <f t="shared" si="0"/>
        <v>0</v>
      </c>
      <c r="C18">
        <f t="shared" si="1"/>
        <v>0</v>
      </c>
      <c r="D18">
        <f t="shared" si="2"/>
        <v>0</v>
      </c>
      <c r="E18">
        <f t="shared" si="3"/>
        <v>0</v>
      </c>
      <c r="F18">
        <f t="shared" si="4"/>
        <v>0</v>
      </c>
      <c r="G18">
        <f t="shared" si="5"/>
        <v>0</v>
      </c>
    </row>
    <row r="19" spans="1:7" x14ac:dyDescent="0.25">
      <c r="A19" t="s">
        <v>65</v>
      </c>
      <c r="B19">
        <f t="shared" si="0"/>
        <v>0</v>
      </c>
      <c r="C19">
        <f t="shared" si="1"/>
        <v>0</v>
      </c>
      <c r="D19">
        <f t="shared" si="2"/>
        <v>0</v>
      </c>
      <c r="E19">
        <f t="shared" si="3"/>
        <v>0</v>
      </c>
      <c r="F19">
        <f t="shared" si="4"/>
        <v>0</v>
      </c>
      <c r="G19">
        <f t="shared" si="5"/>
        <v>0</v>
      </c>
    </row>
    <row r="20" spans="1:7" x14ac:dyDescent="0.25">
      <c r="A20" t="s">
        <v>103</v>
      </c>
      <c r="B20">
        <f t="shared" si="0"/>
        <v>0</v>
      </c>
      <c r="C20">
        <f t="shared" si="1"/>
        <v>0</v>
      </c>
      <c r="D20">
        <f t="shared" si="2"/>
        <v>0</v>
      </c>
      <c r="E20">
        <f t="shared" si="3"/>
        <v>0</v>
      </c>
      <c r="F20">
        <f t="shared" si="4"/>
        <v>0</v>
      </c>
      <c r="G20">
        <f t="shared" si="5"/>
        <v>0</v>
      </c>
    </row>
    <row r="21" spans="1:7" x14ac:dyDescent="0.25">
      <c r="A21" t="s">
        <v>69</v>
      </c>
      <c r="B21">
        <f t="shared" si="0"/>
        <v>0</v>
      </c>
      <c r="C21">
        <f t="shared" si="1"/>
        <v>0</v>
      </c>
      <c r="D21">
        <f t="shared" si="2"/>
        <v>0</v>
      </c>
      <c r="E21">
        <f t="shared" si="3"/>
        <v>0</v>
      </c>
      <c r="F21">
        <f t="shared" si="4"/>
        <v>0</v>
      </c>
      <c r="G21">
        <f t="shared" si="5"/>
        <v>0</v>
      </c>
    </row>
    <row r="22" spans="1:7" x14ac:dyDescent="0.25">
      <c r="A22" t="s">
        <v>85</v>
      </c>
      <c r="B22">
        <f t="shared" si="0"/>
        <v>0</v>
      </c>
      <c r="C22">
        <f t="shared" si="1"/>
        <v>0</v>
      </c>
      <c r="D22">
        <f t="shared" si="2"/>
        <v>0</v>
      </c>
      <c r="E22">
        <f t="shared" si="3"/>
        <v>0</v>
      </c>
      <c r="F22">
        <f t="shared" si="4"/>
        <v>0</v>
      </c>
      <c r="G22">
        <f t="shared" si="5"/>
        <v>0</v>
      </c>
    </row>
    <row r="23" spans="1:7" x14ac:dyDescent="0.25">
      <c r="A23" t="s">
        <v>121</v>
      </c>
      <c r="B23">
        <f t="shared" si="0"/>
        <v>0</v>
      </c>
      <c r="C23">
        <f t="shared" si="1"/>
        <v>0</v>
      </c>
      <c r="D23">
        <f t="shared" si="2"/>
        <v>0</v>
      </c>
      <c r="E23">
        <f t="shared" si="3"/>
        <v>0</v>
      </c>
      <c r="F23">
        <f t="shared" si="4"/>
        <v>0</v>
      </c>
      <c r="G23">
        <f t="shared" si="5"/>
        <v>0</v>
      </c>
    </row>
    <row r="24" spans="1:7" x14ac:dyDescent="0.25">
      <c r="A24" t="s">
        <v>66</v>
      </c>
      <c r="B24">
        <f t="shared" si="0"/>
        <v>0</v>
      </c>
      <c r="C24">
        <f t="shared" si="1"/>
        <v>0</v>
      </c>
      <c r="D24">
        <f t="shared" si="2"/>
        <v>0</v>
      </c>
      <c r="E24">
        <f t="shared" si="3"/>
        <v>0</v>
      </c>
      <c r="F24">
        <f t="shared" si="4"/>
        <v>0</v>
      </c>
      <c r="G24">
        <f t="shared" si="5"/>
        <v>0</v>
      </c>
    </row>
    <row r="25" spans="1:7" x14ac:dyDescent="0.25">
      <c r="A25" t="s">
        <v>120</v>
      </c>
      <c r="B25">
        <f t="shared" si="0"/>
        <v>0</v>
      </c>
      <c r="C25">
        <f t="shared" si="1"/>
        <v>0</v>
      </c>
      <c r="D25">
        <f t="shared" si="2"/>
        <v>0</v>
      </c>
      <c r="E25">
        <f t="shared" si="3"/>
        <v>0</v>
      </c>
      <c r="F25">
        <f t="shared" si="4"/>
        <v>0</v>
      </c>
      <c r="G25">
        <f t="shared" si="5"/>
        <v>0</v>
      </c>
    </row>
    <row r="26" spans="1:7" x14ac:dyDescent="0.25">
      <c r="A26" t="s">
        <v>122</v>
      </c>
      <c r="B26">
        <f t="shared" si="0"/>
        <v>0</v>
      </c>
      <c r="C26">
        <f t="shared" si="1"/>
        <v>0</v>
      </c>
      <c r="D26">
        <f t="shared" si="2"/>
        <v>0</v>
      </c>
      <c r="E26">
        <f t="shared" si="3"/>
        <v>0</v>
      </c>
      <c r="F26">
        <f t="shared" si="4"/>
        <v>0</v>
      </c>
      <c r="G26">
        <f t="shared" si="5"/>
        <v>0</v>
      </c>
    </row>
    <row r="27" spans="1:7" x14ac:dyDescent="0.25">
      <c r="A27" t="s">
        <v>123</v>
      </c>
      <c r="B27">
        <f t="shared" si="0"/>
        <v>0</v>
      </c>
      <c r="C27">
        <f t="shared" si="1"/>
        <v>0</v>
      </c>
      <c r="D27">
        <f t="shared" si="2"/>
        <v>0</v>
      </c>
      <c r="E27">
        <f t="shared" si="3"/>
        <v>0</v>
      </c>
      <c r="F27">
        <f t="shared" si="4"/>
        <v>0</v>
      </c>
      <c r="G27">
        <f t="shared" si="5"/>
        <v>0</v>
      </c>
    </row>
    <row r="28" spans="1:7" x14ac:dyDescent="0.25">
      <c r="A28" t="s">
        <v>70</v>
      </c>
      <c r="B28">
        <f t="shared" si="0"/>
        <v>0</v>
      </c>
      <c r="C28">
        <f t="shared" si="1"/>
        <v>0</v>
      </c>
      <c r="D28">
        <f t="shared" si="2"/>
        <v>0</v>
      </c>
      <c r="E28">
        <f t="shared" si="3"/>
        <v>0</v>
      </c>
      <c r="F28">
        <f t="shared" si="4"/>
        <v>0</v>
      </c>
      <c r="G28">
        <f t="shared" si="5"/>
        <v>0</v>
      </c>
    </row>
    <row r="29" spans="1:7" x14ac:dyDescent="0.25">
      <c r="A29" t="s">
        <v>130</v>
      </c>
      <c r="B29">
        <f t="shared" si="0"/>
        <v>0</v>
      </c>
      <c r="C29">
        <f t="shared" si="1"/>
        <v>0</v>
      </c>
      <c r="D29">
        <f t="shared" si="2"/>
        <v>0</v>
      </c>
      <c r="E29">
        <f t="shared" si="3"/>
        <v>0</v>
      </c>
      <c r="F29">
        <f t="shared" si="4"/>
        <v>0</v>
      </c>
      <c r="G29">
        <f t="shared" si="5"/>
        <v>0</v>
      </c>
    </row>
    <row r="30" spans="1:7" x14ac:dyDescent="0.25">
      <c r="A30" t="s">
        <v>64</v>
      </c>
      <c r="B30">
        <f t="shared" si="0"/>
        <v>0</v>
      </c>
      <c r="C30">
        <f t="shared" si="1"/>
        <v>0</v>
      </c>
      <c r="D30">
        <f t="shared" si="2"/>
        <v>0</v>
      </c>
      <c r="E30">
        <f t="shared" si="3"/>
        <v>0</v>
      </c>
      <c r="F30">
        <f t="shared" si="4"/>
        <v>0</v>
      </c>
      <c r="G30">
        <f t="shared" si="5"/>
        <v>0</v>
      </c>
    </row>
    <row r="31" spans="1:7" x14ac:dyDescent="0.25">
      <c r="A31" t="s">
        <v>128</v>
      </c>
      <c r="B31">
        <f t="shared" si="0"/>
        <v>0</v>
      </c>
      <c r="C31">
        <f t="shared" si="1"/>
        <v>0</v>
      </c>
      <c r="D31">
        <f t="shared" si="2"/>
        <v>0</v>
      </c>
      <c r="E31">
        <f t="shared" si="3"/>
        <v>0</v>
      </c>
      <c r="F31">
        <f t="shared" si="4"/>
        <v>0</v>
      </c>
      <c r="G31">
        <f t="shared" si="5"/>
        <v>0</v>
      </c>
    </row>
    <row r="32" spans="1:7" x14ac:dyDescent="0.25">
      <c r="A32" t="s">
        <v>126</v>
      </c>
      <c r="B32">
        <f t="shared" si="0"/>
        <v>0</v>
      </c>
      <c r="C32">
        <f t="shared" si="1"/>
        <v>0</v>
      </c>
      <c r="D32">
        <f t="shared" si="2"/>
        <v>0</v>
      </c>
      <c r="E32">
        <f t="shared" si="3"/>
        <v>0</v>
      </c>
      <c r="F32">
        <f t="shared" si="4"/>
        <v>0</v>
      </c>
      <c r="G32">
        <f t="shared" si="5"/>
        <v>0</v>
      </c>
    </row>
    <row r="33" spans="1:7" x14ac:dyDescent="0.25">
      <c r="A33" t="s">
        <v>124</v>
      </c>
      <c r="B33">
        <f t="shared" si="0"/>
        <v>0</v>
      </c>
      <c r="C33">
        <f t="shared" si="1"/>
        <v>0</v>
      </c>
      <c r="D33">
        <f t="shared" si="2"/>
        <v>0</v>
      </c>
      <c r="E33">
        <f t="shared" si="3"/>
        <v>0</v>
      </c>
      <c r="F33">
        <f t="shared" si="4"/>
        <v>0</v>
      </c>
      <c r="G33">
        <f t="shared" si="5"/>
        <v>0</v>
      </c>
    </row>
    <row r="34" spans="1:7" x14ac:dyDescent="0.25">
      <c r="A34" t="s">
        <v>127</v>
      </c>
      <c r="B34">
        <f t="shared" si="0"/>
        <v>0</v>
      </c>
      <c r="C34">
        <f t="shared" si="1"/>
        <v>0</v>
      </c>
      <c r="D34">
        <f t="shared" si="2"/>
        <v>0</v>
      </c>
      <c r="E34">
        <f t="shared" si="3"/>
        <v>0</v>
      </c>
      <c r="F34">
        <f t="shared" si="4"/>
        <v>0</v>
      </c>
      <c r="G34">
        <f t="shared" si="5"/>
        <v>0</v>
      </c>
    </row>
    <row r="35" spans="1:7" x14ac:dyDescent="0.25">
      <c r="A35" t="s">
        <v>129</v>
      </c>
      <c r="B35">
        <f t="shared" si="0"/>
        <v>0</v>
      </c>
      <c r="C35">
        <f t="shared" si="1"/>
        <v>0</v>
      </c>
      <c r="D35">
        <f t="shared" si="2"/>
        <v>0</v>
      </c>
      <c r="E35">
        <f t="shared" si="3"/>
        <v>0</v>
      </c>
      <c r="F35">
        <f t="shared" si="4"/>
        <v>0</v>
      </c>
      <c r="G35">
        <f t="shared" si="5"/>
        <v>0</v>
      </c>
    </row>
    <row r="36" spans="1:7" x14ac:dyDescent="0.25">
      <c r="A36" t="s">
        <v>131</v>
      </c>
      <c r="B36">
        <f t="shared" si="0"/>
        <v>0</v>
      </c>
      <c r="C36">
        <f t="shared" si="1"/>
        <v>0</v>
      </c>
      <c r="D36">
        <f t="shared" si="2"/>
        <v>0</v>
      </c>
      <c r="E36">
        <f t="shared" si="3"/>
        <v>0</v>
      </c>
      <c r="F36">
        <f t="shared" si="4"/>
        <v>0</v>
      </c>
      <c r="G36">
        <f t="shared" si="5"/>
        <v>0</v>
      </c>
    </row>
    <row r="37" spans="1:7" x14ac:dyDescent="0.25">
      <c r="A37" t="s">
        <v>117</v>
      </c>
      <c r="B37">
        <f t="shared" si="0"/>
        <v>0</v>
      </c>
      <c r="C37">
        <f t="shared" si="1"/>
        <v>0</v>
      </c>
      <c r="D37">
        <f t="shared" si="2"/>
        <v>0</v>
      </c>
      <c r="E37">
        <f t="shared" si="3"/>
        <v>0</v>
      </c>
      <c r="F37">
        <f t="shared" si="4"/>
        <v>0</v>
      </c>
      <c r="G37">
        <f t="shared" si="5"/>
        <v>0</v>
      </c>
    </row>
    <row r="38" spans="1:7" x14ac:dyDescent="0.25">
      <c r="A38" t="s">
        <v>98</v>
      </c>
      <c r="B38">
        <f t="shared" si="0"/>
        <v>0</v>
      </c>
      <c r="C38">
        <f t="shared" si="1"/>
        <v>0</v>
      </c>
      <c r="D38">
        <f t="shared" si="2"/>
        <v>0</v>
      </c>
      <c r="E38">
        <f t="shared" si="3"/>
        <v>0</v>
      </c>
      <c r="F38">
        <f t="shared" si="4"/>
        <v>0</v>
      </c>
      <c r="G38">
        <f t="shared" si="5"/>
        <v>0</v>
      </c>
    </row>
    <row r="39" spans="1:7" x14ac:dyDescent="0.25">
      <c r="A39" t="s">
        <v>86</v>
      </c>
      <c r="B39">
        <f t="shared" si="0"/>
        <v>0</v>
      </c>
      <c r="C39">
        <f t="shared" si="1"/>
        <v>0</v>
      </c>
      <c r="D39">
        <f t="shared" si="2"/>
        <v>0</v>
      </c>
      <c r="E39">
        <f t="shared" si="3"/>
        <v>0</v>
      </c>
      <c r="F39">
        <f t="shared" si="4"/>
        <v>0</v>
      </c>
      <c r="G39">
        <f t="shared" si="5"/>
        <v>0</v>
      </c>
    </row>
    <row r="40" spans="1:7" x14ac:dyDescent="0.25">
      <c r="A40" t="s">
        <v>68</v>
      </c>
      <c r="B40">
        <f t="shared" si="0"/>
        <v>0</v>
      </c>
      <c r="C40">
        <f t="shared" si="1"/>
        <v>0</v>
      </c>
      <c r="D40">
        <f t="shared" si="2"/>
        <v>0</v>
      </c>
      <c r="E40">
        <f t="shared" si="3"/>
        <v>0</v>
      </c>
      <c r="F40">
        <f t="shared" si="4"/>
        <v>0</v>
      </c>
      <c r="G40">
        <f t="shared" si="5"/>
        <v>0</v>
      </c>
    </row>
    <row r="41" spans="1:7" x14ac:dyDescent="0.25">
      <c r="A41" t="s">
        <v>87</v>
      </c>
      <c r="B41">
        <f t="shared" si="0"/>
        <v>0</v>
      </c>
      <c r="C41">
        <f t="shared" si="1"/>
        <v>0</v>
      </c>
      <c r="D41">
        <f t="shared" si="2"/>
        <v>0</v>
      </c>
      <c r="E41">
        <f t="shared" si="3"/>
        <v>0</v>
      </c>
      <c r="F41">
        <f t="shared" si="4"/>
        <v>0</v>
      </c>
      <c r="G41">
        <f t="shared" si="5"/>
        <v>0</v>
      </c>
    </row>
    <row r="42" spans="1:7" x14ac:dyDescent="0.25">
      <c r="A42" t="s">
        <v>118</v>
      </c>
      <c r="B42">
        <f t="shared" si="0"/>
        <v>0</v>
      </c>
      <c r="C42">
        <f t="shared" si="1"/>
        <v>0</v>
      </c>
      <c r="D42">
        <f t="shared" si="2"/>
        <v>0</v>
      </c>
      <c r="E42">
        <f t="shared" si="3"/>
        <v>0</v>
      </c>
      <c r="F42">
        <f t="shared" si="4"/>
        <v>0</v>
      </c>
      <c r="G42">
        <f t="shared" si="5"/>
        <v>0</v>
      </c>
    </row>
    <row r="43" spans="1:7" x14ac:dyDescent="0.25">
      <c r="A43" t="s">
        <v>119</v>
      </c>
      <c r="B43">
        <f t="shared" si="0"/>
        <v>0</v>
      </c>
      <c r="C43">
        <f t="shared" si="1"/>
        <v>0</v>
      </c>
      <c r="D43">
        <f t="shared" si="2"/>
        <v>0</v>
      </c>
      <c r="E43">
        <f t="shared" si="3"/>
        <v>0</v>
      </c>
      <c r="F43">
        <f t="shared" si="4"/>
        <v>0</v>
      </c>
      <c r="G43">
        <f t="shared" si="5"/>
        <v>0</v>
      </c>
    </row>
    <row r="44" spans="1:7" x14ac:dyDescent="0.25">
      <c r="A44" t="s">
        <v>125</v>
      </c>
      <c r="B44">
        <f t="shared" si="0"/>
        <v>0</v>
      </c>
      <c r="C44">
        <f t="shared" si="1"/>
        <v>0</v>
      </c>
      <c r="D44">
        <f t="shared" si="2"/>
        <v>0</v>
      </c>
      <c r="E44">
        <f t="shared" si="3"/>
        <v>0</v>
      </c>
      <c r="F44">
        <f t="shared" si="4"/>
        <v>0</v>
      </c>
      <c r="G44">
        <f t="shared" si="5"/>
        <v>0</v>
      </c>
    </row>
    <row r="45" spans="1:7" x14ac:dyDescent="0.25">
      <c r="A45" t="s">
        <v>79</v>
      </c>
      <c r="B45">
        <f t="shared" si="0"/>
        <v>0</v>
      </c>
      <c r="C45">
        <f t="shared" si="1"/>
        <v>0</v>
      </c>
      <c r="D45">
        <f t="shared" si="2"/>
        <v>0</v>
      </c>
      <c r="E45">
        <f t="shared" si="3"/>
        <v>0</v>
      </c>
      <c r="F45">
        <f t="shared" si="4"/>
        <v>0</v>
      </c>
      <c r="G45">
        <f t="shared" si="5"/>
        <v>0</v>
      </c>
    </row>
    <row r="46" spans="1:7" x14ac:dyDescent="0.25">
      <c r="A46" t="s">
        <v>106</v>
      </c>
      <c r="B46">
        <f t="shared" si="0"/>
        <v>0</v>
      </c>
      <c r="C46">
        <f t="shared" si="1"/>
        <v>0</v>
      </c>
      <c r="D46">
        <f t="shared" si="2"/>
        <v>0</v>
      </c>
      <c r="E46">
        <f t="shared" si="3"/>
        <v>0</v>
      </c>
      <c r="F46">
        <f t="shared" si="4"/>
        <v>0</v>
      </c>
      <c r="G46">
        <f t="shared" si="5"/>
        <v>0</v>
      </c>
    </row>
    <row r="47" spans="1:7" x14ac:dyDescent="0.25">
      <c r="A47" t="s">
        <v>97</v>
      </c>
      <c r="B47">
        <f t="shared" si="0"/>
        <v>0</v>
      </c>
      <c r="C47">
        <f t="shared" si="1"/>
        <v>0</v>
      </c>
      <c r="D47">
        <f t="shared" si="2"/>
        <v>0</v>
      </c>
      <c r="E47">
        <f t="shared" si="3"/>
        <v>0</v>
      </c>
      <c r="F47">
        <f t="shared" si="4"/>
        <v>0</v>
      </c>
      <c r="G47">
        <f t="shared" si="5"/>
        <v>0</v>
      </c>
    </row>
    <row r="48" spans="1:7" x14ac:dyDescent="0.25">
      <c r="A48" t="s">
        <v>105</v>
      </c>
      <c r="B48">
        <f t="shared" si="0"/>
        <v>0</v>
      </c>
      <c r="C48">
        <f t="shared" si="1"/>
        <v>0</v>
      </c>
      <c r="D48">
        <f t="shared" si="2"/>
        <v>0</v>
      </c>
      <c r="E48">
        <f t="shared" si="3"/>
        <v>0</v>
      </c>
      <c r="F48">
        <f t="shared" si="4"/>
        <v>0</v>
      </c>
      <c r="G48">
        <f t="shared" si="5"/>
        <v>0</v>
      </c>
    </row>
    <row r="49" spans="1:7" x14ac:dyDescent="0.25">
      <c r="A49" t="s">
        <v>54</v>
      </c>
      <c r="B49">
        <f t="shared" si="0"/>
        <v>0</v>
      </c>
      <c r="C49">
        <f t="shared" si="1"/>
        <v>0</v>
      </c>
      <c r="D49">
        <f t="shared" si="2"/>
        <v>0</v>
      </c>
      <c r="E49">
        <f t="shared" si="3"/>
        <v>0</v>
      </c>
      <c r="F49">
        <f t="shared" si="4"/>
        <v>0</v>
      </c>
      <c r="G49">
        <f t="shared" si="5"/>
        <v>0</v>
      </c>
    </row>
    <row r="50" spans="1:7" x14ac:dyDescent="0.25">
      <c r="A50" t="s">
        <v>75</v>
      </c>
      <c r="B50">
        <f t="shared" si="0"/>
        <v>0</v>
      </c>
      <c r="C50">
        <f t="shared" si="1"/>
        <v>0</v>
      </c>
      <c r="D50">
        <f t="shared" si="2"/>
        <v>0</v>
      </c>
      <c r="E50">
        <f t="shared" si="3"/>
        <v>0</v>
      </c>
      <c r="F50">
        <f t="shared" si="4"/>
        <v>0</v>
      </c>
      <c r="G50">
        <f t="shared" si="5"/>
        <v>0</v>
      </c>
    </row>
    <row r="51" spans="1:7" x14ac:dyDescent="0.25">
      <c r="A51" t="s">
        <v>108</v>
      </c>
      <c r="B51">
        <f t="shared" si="0"/>
        <v>0</v>
      </c>
      <c r="C51">
        <f t="shared" si="1"/>
        <v>0</v>
      </c>
      <c r="D51">
        <f t="shared" si="2"/>
        <v>0</v>
      </c>
      <c r="E51">
        <f t="shared" si="3"/>
        <v>0</v>
      </c>
      <c r="F51">
        <f t="shared" si="4"/>
        <v>0</v>
      </c>
      <c r="G51">
        <f t="shared" si="5"/>
        <v>0</v>
      </c>
    </row>
    <row r="52" spans="1:7" x14ac:dyDescent="0.25">
      <c r="A52" t="s">
        <v>71</v>
      </c>
      <c r="B52">
        <f t="shared" si="0"/>
        <v>0</v>
      </c>
      <c r="C52">
        <f t="shared" si="1"/>
        <v>0</v>
      </c>
      <c r="D52">
        <f t="shared" si="2"/>
        <v>0</v>
      </c>
      <c r="E52">
        <f t="shared" si="3"/>
        <v>0</v>
      </c>
      <c r="F52">
        <f t="shared" si="4"/>
        <v>0</v>
      </c>
      <c r="G52">
        <f t="shared" si="5"/>
        <v>0</v>
      </c>
    </row>
    <row r="53" spans="1:7" x14ac:dyDescent="0.25">
      <c r="A53" t="s">
        <v>107</v>
      </c>
      <c r="B53">
        <f t="shared" si="0"/>
        <v>0</v>
      </c>
      <c r="C53">
        <f t="shared" si="1"/>
        <v>0</v>
      </c>
      <c r="D53">
        <f t="shared" si="2"/>
        <v>0</v>
      </c>
      <c r="E53">
        <f t="shared" si="3"/>
        <v>0</v>
      </c>
      <c r="F53">
        <f t="shared" si="4"/>
        <v>0</v>
      </c>
      <c r="G53">
        <f t="shared" si="5"/>
        <v>0</v>
      </c>
    </row>
    <row r="54" spans="1:7" x14ac:dyDescent="0.25">
      <c r="A54" t="s">
        <v>78</v>
      </c>
      <c r="B54">
        <f t="shared" si="0"/>
        <v>0</v>
      </c>
      <c r="C54">
        <f t="shared" si="1"/>
        <v>0</v>
      </c>
      <c r="D54">
        <f t="shared" si="2"/>
        <v>0</v>
      </c>
      <c r="E54">
        <f t="shared" si="3"/>
        <v>0</v>
      </c>
      <c r="F54">
        <f t="shared" si="4"/>
        <v>0</v>
      </c>
      <c r="G54">
        <f t="shared" si="5"/>
        <v>0</v>
      </c>
    </row>
    <row r="55" spans="1:7" x14ac:dyDescent="0.25">
      <c r="A55" t="s">
        <v>109</v>
      </c>
      <c r="B55">
        <f t="shared" si="0"/>
        <v>0</v>
      </c>
      <c r="C55">
        <f t="shared" si="1"/>
        <v>0</v>
      </c>
      <c r="D55">
        <f t="shared" si="2"/>
        <v>0</v>
      </c>
      <c r="E55">
        <f t="shared" si="3"/>
        <v>0</v>
      </c>
      <c r="F55">
        <f t="shared" si="4"/>
        <v>0</v>
      </c>
      <c r="G55">
        <f t="shared" si="5"/>
        <v>0</v>
      </c>
    </row>
    <row r="56" spans="1:7" x14ac:dyDescent="0.25">
      <c r="A56" t="s">
        <v>73</v>
      </c>
      <c r="B56">
        <f t="shared" si="0"/>
        <v>0</v>
      </c>
      <c r="C56">
        <f t="shared" si="1"/>
        <v>0</v>
      </c>
      <c r="D56">
        <f t="shared" si="2"/>
        <v>0</v>
      </c>
      <c r="E56">
        <f t="shared" si="3"/>
        <v>0</v>
      </c>
      <c r="F56">
        <f t="shared" si="4"/>
        <v>0</v>
      </c>
      <c r="G56">
        <f t="shared" si="5"/>
        <v>0</v>
      </c>
    </row>
    <row r="57" spans="1:7" x14ac:dyDescent="0.25">
      <c r="A57" t="s">
        <v>114</v>
      </c>
      <c r="B57">
        <f t="shared" si="0"/>
        <v>0</v>
      </c>
      <c r="C57">
        <f t="shared" si="1"/>
        <v>0</v>
      </c>
      <c r="D57">
        <f t="shared" si="2"/>
        <v>0</v>
      </c>
      <c r="E57">
        <f t="shared" si="3"/>
        <v>0</v>
      </c>
      <c r="F57">
        <f t="shared" si="4"/>
        <v>0</v>
      </c>
      <c r="G57">
        <f t="shared" si="5"/>
        <v>0</v>
      </c>
    </row>
    <row r="58" spans="1:7" x14ac:dyDescent="0.25">
      <c r="A58" t="s">
        <v>110</v>
      </c>
      <c r="B58">
        <f t="shared" si="0"/>
        <v>0</v>
      </c>
      <c r="C58">
        <f t="shared" si="1"/>
        <v>0</v>
      </c>
      <c r="D58">
        <f t="shared" si="2"/>
        <v>0</v>
      </c>
      <c r="E58">
        <f t="shared" si="3"/>
        <v>0</v>
      </c>
      <c r="F58">
        <f t="shared" si="4"/>
        <v>0</v>
      </c>
      <c r="G58">
        <f t="shared" si="5"/>
        <v>0</v>
      </c>
    </row>
    <row r="59" spans="1:7" x14ac:dyDescent="0.25">
      <c r="A59" t="s">
        <v>111</v>
      </c>
      <c r="B59">
        <f t="shared" si="0"/>
        <v>0</v>
      </c>
      <c r="C59">
        <f t="shared" si="1"/>
        <v>0</v>
      </c>
      <c r="D59">
        <f t="shared" si="2"/>
        <v>0</v>
      </c>
      <c r="E59">
        <f t="shared" si="3"/>
        <v>0</v>
      </c>
      <c r="F59">
        <f t="shared" si="4"/>
        <v>0</v>
      </c>
      <c r="G59">
        <f t="shared" si="5"/>
        <v>0</v>
      </c>
    </row>
    <row r="60" spans="1:7" x14ac:dyDescent="0.25">
      <c r="A60" t="s">
        <v>113</v>
      </c>
      <c r="B60">
        <f t="shared" si="0"/>
        <v>0</v>
      </c>
      <c r="C60">
        <f t="shared" si="1"/>
        <v>0</v>
      </c>
      <c r="D60">
        <f t="shared" si="2"/>
        <v>0</v>
      </c>
      <c r="E60">
        <f t="shared" si="3"/>
        <v>0</v>
      </c>
      <c r="F60">
        <f t="shared" si="4"/>
        <v>0</v>
      </c>
      <c r="G60">
        <f t="shared" si="5"/>
        <v>0</v>
      </c>
    </row>
    <row r="61" spans="1:7" x14ac:dyDescent="0.25">
      <c r="A61" t="s">
        <v>115</v>
      </c>
      <c r="B61">
        <f t="shared" si="0"/>
        <v>0</v>
      </c>
      <c r="C61">
        <f t="shared" si="1"/>
        <v>0</v>
      </c>
      <c r="D61">
        <f t="shared" si="2"/>
        <v>0</v>
      </c>
      <c r="E61">
        <f t="shared" si="3"/>
        <v>0</v>
      </c>
      <c r="F61">
        <f t="shared" si="4"/>
        <v>0</v>
      </c>
      <c r="G61">
        <f t="shared" si="5"/>
        <v>0</v>
      </c>
    </row>
    <row r="62" spans="1:7" x14ac:dyDescent="0.25">
      <c r="A62" t="s">
        <v>112</v>
      </c>
      <c r="B62">
        <f t="shared" si="0"/>
        <v>0</v>
      </c>
      <c r="C62">
        <f t="shared" si="1"/>
        <v>0</v>
      </c>
      <c r="D62">
        <f t="shared" si="2"/>
        <v>0</v>
      </c>
      <c r="E62">
        <f t="shared" si="3"/>
        <v>0</v>
      </c>
      <c r="F62">
        <f t="shared" si="4"/>
        <v>0</v>
      </c>
      <c r="G62">
        <f t="shared" si="5"/>
        <v>0</v>
      </c>
    </row>
    <row r="63" spans="1:7" x14ac:dyDescent="0.25">
      <c r="A63" t="s">
        <v>116</v>
      </c>
      <c r="B63">
        <f t="shared" si="0"/>
        <v>0</v>
      </c>
      <c r="C63">
        <f t="shared" si="1"/>
        <v>0</v>
      </c>
      <c r="D63">
        <f t="shared" si="2"/>
        <v>0</v>
      </c>
      <c r="E63">
        <f t="shared" si="3"/>
        <v>0</v>
      </c>
      <c r="F63">
        <f t="shared" si="4"/>
        <v>0</v>
      </c>
      <c r="G63">
        <f t="shared" si="5"/>
        <v>0</v>
      </c>
    </row>
    <row r="64" spans="1:7" x14ac:dyDescent="0.25">
      <c r="A64" t="s">
        <v>62</v>
      </c>
      <c r="B64">
        <f t="shared" si="0"/>
        <v>0</v>
      </c>
      <c r="C64">
        <f t="shared" si="1"/>
        <v>0</v>
      </c>
      <c r="D64">
        <f t="shared" si="2"/>
        <v>0</v>
      </c>
      <c r="E64">
        <f t="shared" si="3"/>
        <v>0</v>
      </c>
      <c r="F64">
        <f t="shared" si="4"/>
        <v>0</v>
      </c>
      <c r="G64">
        <f t="shared" si="5"/>
        <v>0</v>
      </c>
    </row>
    <row r="65" spans="1:7" x14ac:dyDescent="0.25">
      <c r="A65" t="s">
        <v>61</v>
      </c>
      <c r="B65">
        <f t="shared" si="0"/>
        <v>0</v>
      </c>
      <c r="C65">
        <f t="shared" si="1"/>
        <v>0</v>
      </c>
      <c r="D65">
        <f t="shared" si="2"/>
        <v>0</v>
      </c>
      <c r="E65">
        <f t="shared" si="3"/>
        <v>0</v>
      </c>
      <c r="F65">
        <f t="shared" si="4"/>
        <v>0</v>
      </c>
      <c r="G65">
        <f t="shared" si="5"/>
        <v>0</v>
      </c>
    </row>
    <row r="66" spans="1:7" x14ac:dyDescent="0.25">
      <c r="A66" t="s">
        <v>96</v>
      </c>
      <c r="B66">
        <f t="shared" si="0"/>
        <v>0</v>
      </c>
      <c r="C66">
        <f t="shared" si="1"/>
        <v>0</v>
      </c>
      <c r="D66">
        <f t="shared" si="2"/>
        <v>0</v>
      </c>
      <c r="E66">
        <f t="shared" si="3"/>
        <v>0</v>
      </c>
      <c r="F66">
        <f t="shared" si="4"/>
        <v>0</v>
      </c>
      <c r="G66">
        <f t="shared" si="5"/>
        <v>0</v>
      </c>
    </row>
    <row r="67" spans="1:7" x14ac:dyDescent="0.25">
      <c r="A67" t="s">
        <v>63</v>
      </c>
      <c r="B67">
        <f t="shared" si="0"/>
        <v>0</v>
      </c>
      <c r="C67">
        <f t="shared" si="1"/>
        <v>0</v>
      </c>
      <c r="D67">
        <f t="shared" si="2"/>
        <v>0</v>
      </c>
      <c r="E67">
        <f t="shared" si="3"/>
        <v>0</v>
      </c>
      <c r="F67">
        <f t="shared" si="4"/>
        <v>0</v>
      </c>
      <c r="G67">
        <f t="shared" si="5"/>
        <v>0</v>
      </c>
    </row>
    <row r="68" spans="1:7" x14ac:dyDescent="0.25">
      <c r="A68" t="s">
        <v>104</v>
      </c>
      <c r="B68">
        <f t="shared" ref="B68" si="6">SUM(H68:AB68)</f>
        <v>0</v>
      </c>
      <c r="C68">
        <f t="shared" ref="C68" si="7">(B68/$C$1)*100</f>
        <v>0</v>
      </c>
      <c r="D68">
        <f t="shared" ref="D68" si="8">COUNTA(H68:AB68)</f>
        <v>0</v>
      </c>
      <c r="E68">
        <f t="shared" ref="E68" si="9">COUNTIF(H68:AB68, "&gt;0")</f>
        <v>0</v>
      </c>
      <c r="F68">
        <f t="shared" ref="F68" si="10">COUNTIF(H68:AB68, "=0")</f>
        <v>0</v>
      </c>
      <c r="G68">
        <f t="shared" ref="G68" si="11">COUNTIF(H68:AB68, "&lt;0")</f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Тикеры</vt:lpstr>
      <vt:lpstr>История запусков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2026-09-15T17:22:27Z</dcterms:modified>
</cp:coreProperties>
</file>