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3\__docs\"/>
    </mc:Choice>
  </mc:AlternateContent>
  <xr:revisionPtr revIDLastSave="0" documentId="13_ncr:1_{548E89AF-6BAE-4D35-9EA0-F62F87F425B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Тикеры" sheetId="1" r:id="rId1"/>
    <sheet name="СтатПоТипу" sheetId="6" r:id="rId2"/>
    <sheet name="Динамика" sheetId="7" r:id="rId3"/>
    <sheet name="Результаты" sheetId="4" r:id="rId4"/>
    <sheet name="СумматорСегодня" sheetId="5" r:id="rId5"/>
    <sheet name="Лист1" sheetId="8" r:id="rId6"/>
  </sheet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" i="7" l="1"/>
  <c r="W12" i="7"/>
  <c r="W13" i="7"/>
  <c r="W18" i="7" s="1"/>
  <c r="W14" i="7"/>
  <c r="W15" i="7"/>
  <c r="W16" i="7"/>
  <c r="W17" i="7"/>
  <c r="P73" i="4"/>
  <c r="Q73" i="4"/>
  <c r="R73" i="4"/>
  <c r="S73" i="4"/>
  <c r="T73" i="4"/>
  <c r="U73" i="4"/>
  <c r="P74" i="4"/>
  <c r="Q74" i="4"/>
  <c r="R74" i="4"/>
  <c r="S74" i="4"/>
  <c r="T74" i="4"/>
  <c r="U74" i="4"/>
  <c r="P75" i="4"/>
  <c r="Q75" i="4"/>
  <c r="R75" i="4"/>
  <c r="S75" i="4"/>
  <c r="T75" i="4"/>
  <c r="U75" i="4"/>
  <c r="P76" i="4"/>
  <c r="Q76" i="4"/>
  <c r="R76" i="4"/>
  <c r="S76" i="4"/>
  <c r="T76" i="4"/>
  <c r="U76" i="4"/>
  <c r="P77" i="4"/>
  <c r="Q77" i="4"/>
  <c r="R77" i="4"/>
  <c r="S77" i="4"/>
  <c r="T77" i="4"/>
  <c r="U77" i="4"/>
  <c r="P78" i="4"/>
  <c r="Q78" i="4"/>
  <c r="R78" i="4"/>
  <c r="S78" i="4"/>
  <c r="T78" i="4"/>
  <c r="U78" i="4"/>
  <c r="P79" i="4"/>
  <c r="Q79" i="4"/>
  <c r="R79" i="4"/>
  <c r="S79" i="4"/>
  <c r="T79" i="4"/>
  <c r="U79" i="4"/>
  <c r="I32" i="4"/>
  <c r="J32" i="4"/>
  <c r="K32" i="4"/>
  <c r="L32" i="4"/>
  <c r="N73" i="4"/>
  <c r="I25" i="4"/>
  <c r="J25" i="4"/>
  <c r="K25" i="4"/>
  <c r="L25" i="4"/>
  <c r="N74" i="4"/>
  <c r="I19" i="4"/>
  <c r="J19" i="4"/>
  <c r="K19" i="4"/>
  <c r="L19" i="4"/>
  <c r="N75" i="4"/>
  <c r="I36" i="4"/>
  <c r="J36" i="4"/>
  <c r="K36" i="4"/>
  <c r="L36" i="4"/>
  <c r="N76" i="4"/>
  <c r="I40" i="4"/>
  <c r="J40" i="4"/>
  <c r="K40" i="4"/>
  <c r="L40" i="4"/>
  <c r="N77" i="4"/>
  <c r="I49" i="4"/>
  <c r="J49" i="4"/>
  <c r="K49" i="4"/>
  <c r="L49" i="4"/>
  <c r="N78" i="4"/>
  <c r="I33" i="4"/>
  <c r="J33" i="4"/>
  <c r="K33" i="4"/>
  <c r="L33" i="4"/>
  <c r="N79" i="4"/>
  <c r="B28" i="5"/>
  <c r="C28" i="5" s="1"/>
  <c r="D28" i="5"/>
  <c r="E28" i="5"/>
  <c r="F28" i="5"/>
  <c r="G28" i="5"/>
  <c r="B27" i="5"/>
  <c r="C27" i="5" s="1"/>
  <c r="D27" i="5"/>
  <c r="E27" i="5"/>
  <c r="F27" i="5"/>
  <c r="G27" i="5"/>
  <c r="B26" i="5"/>
  <c r="C26" i="5"/>
  <c r="D26" i="5"/>
  <c r="E26" i="5"/>
  <c r="F26" i="5"/>
  <c r="G26" i="5"/>
  <c r="B25" i="5"/>
  <c r="C25" i="5" s="1"/>
  <c r="D25" i="5"/>
  <c r="E25" i="5"/>
  <c r="F25" i="5"/>
  <c r="G25" i="5"/>
  <c r="B4" i="5"/>
  <c r="C4" i="5" s="1"/>
  <c r="D4" i="5"/>
  <c r="E4" i="5"/>
  <c r="F4" i="5"/>
  <c r="G4" i="5"/>
  <c r="B6" i="5"/>
  <c r="C6" i="5" s="1"/>
  <c r="D6" i="5"/>
  <c r="E6" i="5"/>
  <c r="F6" i="5"/>
  <c r="G6" i="5"/>
  <c r="V11" i="7"/>
  <c r="V12" i="7"/>
  <c r="V13" i="7"/>
  <c r="V18" i="7" s="1"/>
  <c r="V14" i="7"/>
  <c r="V15" i="7"/>
  <c r="V16" i="7"/>
  <c r="V17" i="7"/>
  <c r="U11" i="7"/>
  <c r="U12" i="7"/>
  <c r="U13" i="7"/>
  <c r="U14" i="7"/>
  <c r="U15" i="7"/>
  <c r="U16" i="7"/>
  <c r="U17" i="7"/>
  <c r="U18" i="7"/>
  <c r="Q7" i="4"/>
  <c r="N4" i="4"/>
  <c r="N6" i="4"/>
  <c r="N7" i="4"/>
  <c r="N5" i="4"/>
  <c r="N8" i="4"/>
  <c r="N10" i="4"/>
  <c r="N3" i="4"/>
  <c r="N11" i="4"/>
  <c r="N12" i="4"/>
  <c r="N14" i="4"/>
  <c r="N15" i="4"/>
  <c r="N9" i="4"/>
  <c r="N16" i="4"/>
  <c r="N17" i="4"/>
  <c r="N20" i="4"/>
  <c r="N19" i="4"/>
  <c r="N21" i="4"/>
  <c r="N22" i="4"/>
  <c r="N23" i="4"/>
  <c r="N24" i="4"/>
  <c r="N18" i="4"/>
  <c r="N26" i="4"/>
  <c r="N27" i="4"/>
  <c r="N28" i="4"/>
  <c r="N29" i="4"/>
  <c r="N30" i="4"/>
  <c r="N31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25" i="4"/>
  <c r="N46" i="4"/>
  <c r="N47" i="4"/>
  <c r="N48" i="4"/>
  <c r="N13" i="4"/>
  <c r="N49" i="4"/>
  <c r="N50" i="4"/>
  <c r="N51" i="4"/>
  <c r="N53" i="4"/>
  <c r="N54" i="4"/>
  <c r="N55" i="4"/>
  <c r="N56" i="4"/>
  <c r="N57" i="4"/>
  <c r="N58" i="4"/>
  <c r="N59" i="4"/>
  <c r="N60" i="4"/>
  <c r="N61" i="4"/>
  <c r="N52" i="4"/>
  <c r="N62" i="4"/>
  <c r="N63" i="4"/>
  <c r="N64" i="4"/>
  <c r="N65" i="4"/>
  <c r="N66" i="4"/>
  <c r="N67" i="4"/>
  <c r="N68" i="4"/>
  <c r="N69" i="4"/>
  <c r="N32" i="4"/>
  <c r="N70" i="4"/>
  <c r="N71" i="4"/>
  <c r="N72" i="4"/>
  <c r="N2" i="4"/>
  <c r="T11" i="7"/>
  <c r="T12" i="7"/>
  <c r="T13" i="7"/>
  <c r="T14" i="7"/>
  <c r="T18" i="7" s="1"/>
  <c r="T15" i="7"/>
  <c r="T16" i="7"/>
  <c r="T17" i="7"/>
  <c r="S11" i="7"/>
  <c r="S12" i="7"/>
  <c r="S13" i="7"/>
  <c r="S14" i="7"/>
  <c r="S15" i="7"/>
  <c r="S16" i="7"/>
  <c r="S17" i="7"/>
  <c r="R11" i="7"/>
  <c r="R12" i="7"/>
  <c r="R18" i="7" s="1"/>
  <c r="R13" i="7"/>
  <c r="R14" i="7"/>
  <c r="R15" i="7"/>
  <c r="R16" i="7"/>
  <c r="R17" i="7"/>
  <c r="Q11" i="7"/>
  <c r="Q12" i="7"/>
  <c r="Q13" i="7"/>
  <c r="Q18" i="7" s="1"/>
  <c r="Q14" i="7"/>
  <c r="Q15" i="7"/>
  <c r="Q16" i="7"/>
  <c r="Q17" i="7"/>
  <c r="P72" i="4"/>
  <c r="Q72" i="4"/>
  <c r="R72" i="4"/>
  <c r="S72" i="4"/>
  <c r="T72" i="4"/>
  <c r="U72" i="4"/>
  <c r="I3" i="4"/>
  <c r="J3" i="4"/>
  <c r="K3" i="4"/>
  <c r="L3" i="4"/>
  <c r="P11" i="7"/>
  <c r="P12" i="7"/>
  <c r="P13" i="7"/>
  <c r="P18" i="7" s="1"/>
  <c r="P14" i="7"/>
  <c r="P15" i="7"/>
  <c r="P16" i="7"/>
  <c r="P17" i="7"/>
  <c r="I12" i="4"/>
  <c r="J12" i="4"/>
  <c r="K12" i="4"/>
  <c r="L12" i="4"/>
  <c r="P71" i="4"/>
  <c r="Q71" i="4"/>
  <c r="R71" i="4"/>
  <c r="S71" i="4"/>
  <c r="T71" i="4"/>
  <c r="U71" i="4"/>
  <c r="O11" i="7"/>
  <c r="O12" i="7"/>
  <c r="O18" i="7" s="1"/>
  <c r="O13" i="7"/>
  <c r="O14" i="7"/>
  <c r="O15" i="7"/>
  <c r="O16" i="7"/>
  <c r="O17" i="7"/>
  <c r="I38" i="4"/>
  <c r="J38" i="4"/>
  <c r="K38" i="4"/>
  <c r="L38" i="4"/>
  <c r="I4" i="4"/>
  <c r="J4" i="4"/>
  <c r="K4" i="4"/>
  <c r="L4" i="4"/>
  <c r="I7" i="4"/>
  <c r="J7" i="4"/>
  <c r="K7" i="4"/>
  <c r="L7" i="4"/>
  <c r="I17" i="4"/>
  <c r="J17" i="4"/>
  <c r="K17" i="4"/>
  <c r="L17" i="4"/>
  <c r="I57" i="4"/>
  <c r="J57" i="4"/>
  <c r="K57" i="4"/>
  <c r="L57" i="4"/>
  <c r="P65" i="4"/>
  <c r="Q65" i="4"/>
  <c r="R65" i="4"/>
  <c r="S65" i="4"/>
  <c r="T65" i="4"/>
  <c r="U65" i="4"/>
  <c r="P66" i="4"/>
  <c r="Q66" i="4"/>
  <c r="R66" i="4"/>
  <c r="S66" i="4"/>
  <c r="T66" i="4"/>
  <c r="U66" i="4"/>
  <c r="P67" i="4"/>
  <c r="Q67" i="4"/>
  <c r="R67" i="4"/>
  <c r="S67" i="4"/>
  <c r="T67" i="4"/>
  <c r="U67" i="4"/>
  <c r="P68" i="4"/>
  <c r="Q68" i="4"/>
  <c r="R68" i="4"/>
  <c r="S68" i="4"/>
  <c r="T68" i="4"/>
  <c r="U68" i="4"/>
  <c r="P69" i="4"/>
  <c r="Q69" i="4"/>
  <c r="R69" i="4"/>
  <c r="S69" i="4"/>
  <c r="T69" i="4"/>
  <c r="U69" i="4"/>
  <c r="P70" i="4"/>
  <c r="Q70" i="4"/>
  <c r="R70" i="4"/>
  <c r="S70" i="4"/>
  <c r="T70" i="4"/>
  <c r="U70" i="4"/>
  <c r="N11" i="7"/>
  <c r="N12" i="7"/>
  <c r="N13" i="7"/>
  <c r="N18" i="7" s="1"/>
  <c r="N14" i="7"/>
  <c r="N15" i="7"/>
  <c r="N16" i="7"/>
  <c r="N17" i="7"/>
  <c r="P63" i="4"/>
  <c r="Q63" i="4"/>
  <c r="R63" i="4"/>
  <c r="S63" i="4"/>
  <c r="T63" i="4"/>
  <c r="U63" i="4"/>
  <c r="P64" i="4"/>
  <c r="Q64" i="4"/>
  <c r="R64" i="4"/>
  <c r="S64" i="4"/>
  <c r="T64" i="4"/>
  <c r="U64" i="4"/>
  <c r="I45" i="4"/>
  <c r="J45" i="4"/>
  <c r="K45" i="4"/>
  <c r="L45" i="4"/>
  <c r="I69" i="4"/>
  <c r="J69" i="4"/>
  <c r="K69" i="4"/>
  <c r="L69" i="4"/>
  <c r="M11" i="7"/>
  <c r="M12" i="7"/>
  <c r="M13" i="7"/>
  <c r="M14" i="7"/>
  <c r="M18" i="7" s="1"/>
  <c r="M15" i="7"/>
  <c r="M16" i="7"/>
  <c r="M17" i="7"/>
  <c r="I73" i="4"/>
  <c r="J73" i="4"/>
  <c r="K73" i="4"/>
  <c r="L73" i="4"/>
  <c r="L11" i="7"/>
  <c r="L12" i="7"/>
  <c r="L18" i="7" s="1"/>
  <c r="L13" i="7"/>
  <c r="L14" i="7"/>
  <c r="L15" i="7"/>
  <c r="L16" i="7"/>
  <c r="L17" i="7"/>
  <c r="P62" i="4"/>
  <c r="Q62" i="4"/>
  <c r="R62" i="4"/>
  <c r="S62" i="4"/>
  <c r="T62" i="4"/>
  <c r="U62" i="4"/>
  <c r="I53" i="4"/>
  <c r="J53" i="4"/>
  <c r="K53" i="4"/>
  <c r="L53" i="4"/>
  <c r="P61" i="4"/>
  <c r="Q61" i="4"/>
  <c r="R61" i="4"/>
  <c r="S61" i="4"/>
  <c r="T61" i="4"/>
  <c r="U61" i="4"/>
  <c r="K11" i="7"/>
  <c r="K12" i="7"/>
  <c r="K18" i="7" s="1"/>
  <c r="K13" i="7"/>
  <c r="K14" i="7"/>
  <c r="K15" i="7"/>
  <c r="K16" i="7"/>
  <c r="K17" i="7"/>
  <c r="I6" i="4"/>
  <c r="J6" i="4"/>
  <c r="K6" i="4"/>
  <c r="L6" i="4"/>
  <c r="I30" i="4"/>
  <c r="J30" i="4"/>
  <c r="K30" i="4"/>
  <c r="L30" i="4"/>
  <c r="I67" i="4"/>
  <c r="J67" i="4"/>
  <c r="K67" i="4"/>
  <c r="L67" i="4"/>
  <c r="I48" i="4"/>
  <c r="J48" i="4"/>
  <c r="K48" i="4"/>
  <c r="L48" i="4"/>
  <c r="I52" i="4"/>
  <c r="J52" i="4"/>
  <c r="K52" i="4"/>
  <c r="L52" i="4"/>
  <c r="P56" i="4"/>
  <c r="Q56" i="4"/>
  <c r="R56" i="4"/>
  <c r="S56" i="4"/>
  <c r="T56" i="4"/>
  <c r="U56" i="4"/>
  <c r="P57" i="4"/>
  <c r="Q57" i="4"/>
  <c r="R57" i="4"/>
  <c r="S57" i="4"/>
  <c r="T57" i="4"/>
  <c r="U57" i="4"/>
  <c r="P58" i="4"/>
  <c r="Q58" i="4"/>
  <c r="R58" i="4"/>
  <c r="S58" i="4"/>
  <c r="T58" i="4"/>
  <c r="U58" i="4"/>
  <c r="P59" i="4"/>
  <c r="Q59" i="4"/>
  <c r="R59" i="4"/>
  <c r="S59" i="4"/>
  <c r="T59" i="4"/>
  <c r="U59" i="4"/>
  <c r="P60" i="4"/>
  <c r="Q60" i="4"/>
  <c r="R60" i="4"/>
  <c r="S60" i="4"/>
  <c r="T60" i="4"/>
  <c r="U60" i="4"/>
  <c r="I58" i="4"/>
  <c r="J12" i="7"/>
  <c r="J18" i="7" s="1"/>
  <c r="J13" i="7"/>
  <c r="J14" i="7"/>
  <c r="J15" i="7"/>
  <c r="J16" i="7"/>
  <c r="J17" i="7"/>
  <c r="J11" i="7"/>
  <c r="I12" i="7"/>
  <c r="I18" i="7" s="1"/>
  <c r="I13" i="7"/>
  <c r="I14" i="7"/>
  <c r="I15" i="7"/>
  <c r="I16" i="7"/>
  <c r="I17" i="7"/>
  <c r="I11" i="7"/>
  <c r="I27" i="4"/>
  <c r="J27" i="4"/>
  <c r="K27" i="4"/>
  <c r="L27" i="4"/>
  <c r="L58" i="4"/>
  <c r="P54" i="4"/>
  <c r="Q54" i="4"/>
  <c r="R54" i="4"/>
  <c r="S54" i="4"/>
  <c r="T54" i="4"/>
  <c r="U54" i="4"/>
  <c r="I23" i="4"/>
  <c r="J23" i="4"/>
  <c r="K23" i="4"/>
  <c r="L23" i="4"/>
  <c r="P55" i="4"/>
  <c r="Q55" i="4"/>
  <c r="R55" i="4"/>
  <c r="S55" i="4"/>
  <c r="T55" i="4"/>
  <c r="U55" i="4"/>
  <c r="H12" i="7"/>
  <c r="H18" i="7" s="1"/>
  <c r="H13" i="7"/>
  <c r="H14" i="7"/>
  <c r="H15" i="7"/>
  <c r="H16" i="7"/>
  <c r="H17" i="7"/>
  <c r="H11" i="7"/>
  <c r="G12" i="7"/>
  <c r="G18" i="7" s="1"/>
  <c r="G13" i="7"/>
  <c r="G14" i="7"/>
  <c r="G15" i="7"/>
  <c r="G16" i="7"/>
  <c r="G17" i="7"/>
  <c r="C11" i="7"/>
  <c r="D11" i="7"/>
  <c r="E11" i="7"/>
  <c r="F11" i="7"/>
  <c r="G11" i="7"/>
  <c r="I71" i="4"/>
  <c r="J71" i="4"/>
  <c r="K71" i="4"/>
  <c r="L71" i="4"/>
  <c r="I61" i="4"/>
  <c r="J61" i="4"/>
  <c r="K61" i="4"/>
  <c r="L61" i="4"/>
  <c r="I79" i="4"/>
  <c r="J79" i="4"/>
  <c r="K79" i="4"/>
  <c r="L79" i="4"/>
  <c r="I62" i="4"/>
  <c r="J62" i="4"/>
  <c r="K62" i="4"/>
  <c r="L62" i="4"/>
  <c r="I37" i="4"/>
  <c r="J37" i="4"/>
  <c r="K37" i="4"/>
  <c r="L37" i="4"/>
  <c r="I10" i="4"/>
  <c r="J10" i="4"/>
  <c r="K10" i="4"/>
  <c r="L10" i="4"/>
  <c r="I43" i="4"/>
  <c r="J43" i="4"/>
  <c r="K43" i="4"/>
  <c r="L43" i="4"/>
  <c r="I26" i="4"/>
  <c r="J26" i="4"/>
  <c r="K26" i="4"/>
  <c r="L26" i="4"/>
  <c r="I72" i="4"/>
  <c r="J72" i="4"/>
  <c r="K72" i="4"/>
  <c r="L72" i="4"/>
  <c r="D15" i="5"/>
  <c r="E15" i="5"/>
  <c r="F15" i="5"/>
  <c r="G15" i="5"/>
  <c r="D30" i="5"/>
  <c r="E30" i="5"/>
  <c r="F30" i="5"/>
  <c r="G30" i="5"/>
  <c r="D18" i="5"/>
  <c r="E18" i="5"/>
  <c r="F18" i="5"/>
  <c r="G18" i="5"/>
  <c r="D67" i="5"/>
  <c r="E67" i="5"/>
  <c r="F67" i="5"/>
  <c r="G67" i="5"/>
  <c r="D59" i="5"/>
  <c r="E59" i="5"/>
  <c r="F59" i="5"/>
  <c r="G59" i="5"/>
  <c r="D47" i="5"/>
  <c r="E47" i="5"/>
  <c r="F47" i="5"/>
  <c r="G47" i="5"/>
  <c r="D63" i="5"/>
  <c r="E63" i="5"/>
  <c r="F63" i="5"/>
  <c r="G63" i="5"/>
  <c r="D9" i="5"/>
  <c r="E9" i="5"/>
  <c r="F9" i="5"/>
  <c r="G9" i="5"/>
  <c r="B15" i="5"/>
  <c r="C15" i="5" s="1"/>
  <c r="B30" i="5"/>
  <c r="C30" i="5" s="1"/>
  <c r="B18" i="5"/>
  <c r="C18" i="5" s="1"/>
  <c r="B67" i="5"/>
  <c r="C67" i="5" s="1"/>
  <c r="B59" i="5"/>
  <c r="C59" i="5" s="1"/>
  <c r="B47" i="5"/>
  <c r="C47" i="5" s="1"/>
  <c r="B63" i="5"/>
  <c r="C63" i="5" s="1"/>
  <c r="B9" i="5"/>
  <c r="C9" i="5" s="1"/>
  <c r="F12" i="7"/>
  <c r="F18" i="7" s="1"/>
  <c r="F13" i="7"/>
  <c r="F14" i="7"/>
  <c r="F15" i="7"/>
  <c r="F16" i="7"/>
  <c r="F17" i="7"/>
  <c r="D12" i="7"/>
  <c r="D18" i="7" s="1"/>
  <c r="E12" i="7"/>
  <c r="E18" i="7" s="1"/>
  <c r="D13" i="7"/>
  <c r="E13" i="7"/>
  <c r="D14" i="7"/>
  <c r="E14" i="7"/>
  <c r="D15" i="7"/>
  <c r="E15" i="7"/>
  <c r="D16" i="7"/>
  <c r="E16" i="7"/>
  <c r="D17" i="7"/>
  <c r="E17" i="7"/>
  <c r="C13" i="7"/>
  <c r="C14" i="7"/>
  <c r="C15" i="7"/>
  <c r="C16" i="7"/>
  <c r="C17" i="7"/>
  <c r="C12" i="7"/>
  <c r="C18" i="7" s="1"/>
  <c r="B13" i="7"/>
  <c r="B14" i="7"/>
  <c r="B15" i="7"/>
  <c r="B16" i="7"/>
  <c r="B17" i="7"/>
  <c r="B12" i="7"/>
  <c r="B18" i="7" s="1"/>
  <c r="B11" i="7"/>
  <c r="Q53" i="4"/>
  <c r="S52" i="4"/>
  <c r="Q51" i="4"/>
  <c r="S50" i="4"/>
  <c r="Q49" i="4"/>
  <c r="T48" i="4"/>
  <c r="S48" i="4"/>
  <c r="Q48" i="4"/>
  <c r="Q47" i="4"/>
  <c r="S46" i="4"/>
  <c r="Q46" i="4"/>
  <c r="Q45" i="4"/>
  <c r="S44" i="4"/>
  <c r="Q43" i="4"/>
  <c r="S42" i="4"/>
  <c r="Q41" i="4"/>
  <c r="S40" i="4"/>
  <c r="Q39" i="4"/>
  <c r="S38" i="4"/>
  <c r="Q38" i="4"/>
  <c r="Q37" i="4"/>
  <c r="Q36" i="4"/>
  <c r="Q35" i="4"/>
  <c r="S34" i="4"/>
  <c r="Q33" i="4"/>
  <c r="S32" i="4"/>
  <c r="Q31" i="4"/>
  <c r="T30" i="4"/>
  <c r="S30" i="4"/>
  <c r="Q29" i="4"/>
  <c r="S28" i="4"/>
  <c r="Q27" i="4"/>
  <c r="Q26" i="4"/>
  <c r="Q25" i="4"/>
  <c r="S24" i="4"/>
  <c r="U23" i="4"/>
  <c r="Q23" i="4"/>
  <c r="T22" i="4"/>
  <c r="S22" i="4"/>
  <c r="Q21" i="4"/>
  <c r="S20" i="4"/>
  <c r="Q19" i="4"/>
  <c r="S18" i="4"/>
  <c r="Q17" i="4"/>
  <c r="S16" i="4"/>
  <c r="T15" i="4"/>
  <c r="T14" i="4"/>
  <c r="S14" i="4"/>
  <c r="Q14" i="4"/>
  <c r="Q13" i="4"/>
  <c r="T12" i="4"/>
  <c r="S12" i="4"/>
  <c r="Q12" i="4"/>
  <c r="Q11" i="4"/>
  <c r="S10" i="4"/>
  <c r="R10" i="4"/>
  <c r="Q10" i="4"/>
  <c r="T9" i="4"/>
  <c r="Q9" i="4"/>
  <c r="S8" i="4"/>
  <c r="S6" i="4"/>
  <c r="Q5" i="4"/>
  <c r="T4" i="4"/>
  <c r="S4" i="4"/>
  <c r="U3" i="4"/>
  <c r="T3" i="4"/>
  <c r="S3" i="4"/>
  <c r="S2" i="4"/>
  <c r="S51" i="4"/>
  <c r="T46" i="4"/>
  <c r="S45" i="4"/>
  <c r="T44" i="4"/>
  <c r="T42" i="4"/>
  <c r="S41" i="4"/>
  <c r="T38" i="4"/>
  <c r="T36" i="4"/>
  <c r="S36" i="4"/>
  <c r="S31" i="4"/>
  <c r="S29" i="4"/>
  <c r="S27" i="4"/>
  <c r="T26" i="4"/>
  <c r="S26" i="4"/>
  <c r="T25" i="4"/>
  <c r="T21" i="4"/>
  <c r="S19" i="4"/>
  <c r="T18" i="4"/>
  <c r="T17" i="4"/>
  <c r="S13" i="4"/>
  <c r="U12" i="4"/>
  <c r="U7" i="4"/>
  <c r="T7" i="4"/>
  <c r="S7" i="4"/>
  <c r="T6" i="4"/>
  <c r="S5" i="4"/>
  <c r="T2" i="4"/>
  <c r="R52" i="4"/>
  <c r="R42" i="4"/>
  <c r="R40" i="4"/>
  <c r="R36" i="4"/>
  <c r="R34" i="4"/>
  <c r="R32" i="4"/>
  <c r="R28" i="4"/>
  <c r="R26" i="4"/>
  <c r="R24" i="4"/>
  <c r="R20" i="4"/>
  <c r="U19" i="4"/>
  <c r="R18" i="4"/>
  <c r="R16" i="4"/>
  <c r="R14" i="4"/>
  <c r="R12" i="4"/>
  <c r="T10" i="4"/>
  <c r="R6" i="4"/>
  <c r="U5" i="4"/>
  <c r="T5" i="4"/>
  <c r="R4" i="4"/>
  <c r="R3" i="4"/>
  <c r="L66" i="4"/>
  <c r="L20" i="4"/>
  <c r="L46" i="4"/>
  <c r="L11" i="4"/>
  <c r="L39" i="4"/>
  <c r="L50" i="4"/>
  <c r="L21" i="4"/>
  <c r="L78" i="4"/>
  <c r="L64" i="4"/>
  <c r="L24" i="4"/>
  <c r="L5" i="4"/>
  <c r="L68" i="4"/>
  <c r="L35" i="4"/>
  <c r="L31" i="4"/>
  <c r="L14" i="4"/>
  <c r="L29" i="4"/>
  <c r="L16" i="4"/>
  <c r="L8" i="4"/>
  <c r="L2" i="4"/>
  <c r="L74" i="4"/>
  <c r="L77" i="4"/>
  <c r="L59" i="4"/>
  <c r="L51" i="4"/>
  <c r="L65" i="4"/>
  <c r="L76" i="4"/>
  <c r="L54" i="4"/>
  <c r="L28" i="4"/>
  <c r="L34" i="4"/>
  <c r="L9" i="4"/>
  <c r="L44" i="4"/>
  <c r="L63" i="4"/>
  <c r="L41" i="4"/>
  <c r="L15" i="4"/>
  <c r="L56" i="4"/>
  <c r="L22" i="4"/>
  <c r="L60" i="4"/>
  <c r="L47" i="4"/>
  <c r="L42" i="4"/>
  <c r="L75" i="4"/>
  <c r="L13" i="4"/>
  <c r="L18" i="4"/>
  <c r="L55" i="4"/>
  <c r="L70" i="4"/>
  <c r="T53" i="4"/>
  <c r="T49" i="4"/>
  <c r="R48" i="4"/>
  <c r="T47" i="4"/>
  <c r="R45" i="4"/>
  <c r="T41" i="4"/>
  <c r="T39" i="4"/>
  <c r="T35" i="4"/>
  <c r="R30" i="4"/>
  <c r="R22" i="4"/>
  <c r="T19" i="4"/>
  <c r="T16" i="4"/>
  <c r="T13" i="4"/>
  <c r="T11" i="4"/>
  <c r="R8" i="4"/>
  <c r="R2" i="4"/>
  <c r="P52" i="4"/>
  <c r="P50" i="4"/>
  <c r="R47" i="4"/>
  <c r="P44" i="4"/>
  <c r="P42" i="4"/>
  <c r="R41" i="4"/>
  <c r="P40" i="4"/>
  <c r="R39" i="4"/>
  <c r="R37" i="4"/>
  <c r="R35" i="4"/>
  <c r="P34" i="4"/>
  <c r="P32" i="4"/>
  <c r="R31" i="4"/>
  <c r="P30" i="4"/>
  <c r="R29" i="4"/>
  <c r="P28" i="4"/>
  <c r="R23" i="4"/>
  <c r="P22" i="4"/>
  <c r="P20" i="4"/>
  <c r="R19" i="4"/>
  <c r="P18" i="4"/>
  <c r="R17" i="4"/>
  <c r="P16" i="4"/>
  <c r="R15" i="4"/>
  <c r="R11" i="4"/>
  <c r="R9" i="4"/>
  <c r="P8" i="4"/>
  <c r="R7" i="4"/>
  <c r="P6" i="4"/>
  <c r="R5" i="4"/>
  <c r="P4" i="4"/>
  <c r="P2" i="4"/>
  <c r="U53" i="4"/>
  <c r="U47" i="4"/>
  <c r="U43" i="4"/>
  <c r="U37" i="4"/>
  <c r="U36" i="4"/>
  <c r="U33" i="4"/>
  <c r="U31" i="4"/>
  <c r="U27" i="4"/>
  <c r="U25" i="4"/>
  <c r="U21" i="4"/>
  <c r="R21" i="4"/>
  <c r="U17" i="4"/>
  <c r="U15" i="4"/>
  <c r="U13" i="4"/>
  <c r="U11" i="4"/>
  <c r="U9" i="4"/>
  <c r="J66" i="4"/>
  <c r="K66" i="4"/>
  <c r="J20" i="4"/>
  <c r="K20" i="4"/>
  <c r="J46" i="4"/>
  <c r="K46" i="4"/>
  <c r="J11" i="4"/>
  <c r="K11" i="4"/>
  <c r="J39" i="4"/>
  <c r="K39" i="4"/>
  <c r="J50" i="4"/>
  <c r="K50" i="4"/>
  <c r="J21" i="4"/>
  <c r="K21" i="4"/>
  <c r="J78" i="4"/>
  <c r="K78" i="4"/>
  <c r="J64" i="4"/>
  <c r="K64" i="4"/>
  <c r="J24" i="4"/>
  <c r="K24" i="4"/>
  <c r="J5" i="4"/>
  <c r="K5" i="4"/>
  <c r="J68" i="4"/>
  <c r="K68" i="4"/>
  <c r="J35" i="4"/>
  <c r="K35" i="4"/>
  <c r="J31" i="4"/>
  <c r="K31" i="4"/>
  <c r="J14" i="4"/>
  <c r="K14" i="4"/>
  <c r="J29" i="4"/>
  <c r="K29" i="4"/>
  <c r="J16" i="4"/>
  <c r="K16" i="4"/>
  <c r="J8" i="4"/>
  <c r="K8" i="4"/>
  <c r="J2" i="4"/>
  <c r="K2" i="4"/>
  <c r="J74" i="4"/>
  <c r="K74" i="4"/>
  <c r="J77" i="4"/>
  <c r="K77" i="4"/>
  <c r="J59" i="4"/>
  <c r="K59" i="4"/>
  <c r="J51" i="4"/>
  <c r="K51" i="4"/>
  <c r="J65" i="4"/>
  <c r="K65" i="4"/>
  <c r="J76" i="4"/>
  <c r="K76" i="4"/>
  <c r="J54" i="4"/>
  <c r="K54" i="4"/>
  <c r="J28" i="4"/>
  <c r="K28" i="4"/>
  <c r="J34" i="4"/>
  <c r="K34" i="4"/>
  <c r="J9" i="4"/>
  <c r="K9" i="4"/>
  <c r="J44" i="4"/>
  <c r="K44" i="4"/>
  <c r="J63" i="4"/>
  <c r="K63" i="4"/>
  <c r="J41" i="4"/>
  <c r="K41" i="4"/>
  <c r="J15" i="4"/>
  <c r="K15" i="4"/>
  <c r="J56" i="4"/>
  <c r="K56" i="4"/>
  <c r="J22" i="4"/>
  <c r="K22" i="4"/>
  <c r="J60" i="4"/>
  <c r="K60" i="4"/>
  <c r="J47" i="4"/>
  <c r="K47" i="4"/>
  <c r="J42" i="4"/>
  <c r="K42" i="4"/>
  <c r="J75" i="4"/>
  <c r="K75" i="4"/>
  <c r="J13" i="4"/>
  <c r="K13" i="4"/>
  <c r="J18" i="4"/>
  <c r="K18" i="4"/>
  <c r="J55" i="4"/>
  <c r="K55" i="4"/>
  <c r="K70" i="4"/>
  <c r="J70" i="4"/>
  <c r="I66" i="4"/>
  <c r="I20" i="4"/>
  <c r="I46" i="4"/>
  <c r="I11" i="4"/>
  <c r="I39" i="4"/>
  <c r="I50" i="4"/>
  <c r="I21" i="4"/>
  <c r="I78" i="4"/>
  <c r="I64" i="4"/>
  <c r="I24" i="4"/>
  <c r="I5" i="4"/>
  <c r="I68" i="4"/>
  <c r="I35" i="4"/>
  <c r="I31" i="4"/>
  <c r="I14" i="4"/>
  <c r="I29" i="4"/>
  <c r="I16" i="4"/>
  <c r="I8" i="4"/>
  <c r="I2" i="4"/>
  <c r="I74" i="4"/>
  <c r="I77" i="4"/>
  <c r="I59" i="4"/>
  <c r="I51" i="4"/>
  <c r="I65" i="4"/>
  <c r="I76" i="4"/>
  <c r="I54" i="4"/>
  <c r="I28" i="4"/>
  <c r="I34" i="4"/>
  <c r="I9" i="4"/>
  <c r="I44" i="4"/>
  <c r="I63" i="4"/>
  <c r="I41" i="4"/>
  <c r="I15" i="4"/>
  <c r="I56" i="4"/>
  <c r="I22" i="4"/>
  <c r="I60" i="4"/>
  <c r="I47" i="4"/>
  <c r="I42" i="4"/>
  <c r="I75" i="4"/>
  <c r="I13" i="4"/>
  <c r="I18" i="4"/>
  <c r="I55" i="4"/>
  <c r="I70" i="4"/>
  <c r="U2" i="4"/>
  <c r="U4" i="4"/>
  <c r="U6" i="4"/>
  <c r="U8" i="4"/>
  <c r="U10" i="4"/>
  <c r="U14" i="4"/>
  <c r="U16" i="4"/>
  <c r="U18" i="4"/>
  <c r="U20" i="4"/>
  <c r="U22" i="4"/>
  <c r="U26" i="4"/>
  <c r="U28" i="4"/>
  <c r="U29" i="4"/>
  <c r="U30" i="4"/>
  <c r="U32" i="4"/>
  <c r="U34" i="4"/>
  <c r="U35" i="4"/>
  <c r="U38" i="4"/>
  <c r="U39" i="4"/>
  <c r="U40" i="4"/>
  <c r="U41" i="4"/>
  <c r="U42" i="4"/>
  <c r="U44" i="4"/>
  <c r="U45" i="4"/>
  <c r="U46" i="4"/>
  <c r="U48" i="4"/>
  <c r="U49" i="4"/>
  <c r="U50" i="4"/>
  <c r="U51" i="4"/>
  <c r="U52" i="4"/>
  <c r="T8" i="4"/>
  <c r="S9" i="4"/>
  <c r="S11" i="4"/>
  <c r="R13" i="4"/>
  <c r="S15" i="4"/>
  <c r="S17" i="4"/>
  <c r="T20" i="4"/>
  <c r="S21" i="4"/>
  <c r="S23" i="4"/>
  <c r="T23" i="4"/>
  <c r="R25" i="4"/>
  <c r="S25" i="4"/>
  <c r="R27" i="4"/>
  <c r="T27" i="4"/>
  <c r="T28" i="4"/>
  <c r="T29" i="4"/>
  <c r="T31" i="4"/>
  <c r="T32" i="4"/>
  <c r="R33" i="4"/>
  <c r="S33" i="4"/>
  <c r="T33" i="4"/>
  <c r="T34" i="4"/>
  <c r="S35" i="4"/>
  <c r="S37" i="4"/>
  <c r="T37" i="4"/>
  <c r="R38" i="4"/>
  <c r="S39" i="4"/>
  <c r="T40" i="4"/>
  <c r="R43" i="4"/>
  <c r="S43" i="4"/>
  <c r="T43" i="4"/>
  <c r="R44" i="4"/>
  <c r="T45" i="4"/>
  <c r="R46" i="4"/>
  <c r="S47" i="4"/>
  <c r="R49" i="4"/>
  <c r="S49" i="4"/>
  <c r="R50" i="4"/>
  <c r="T50" i="4"/>
  <c r="R51" i="4"/>
  <c r="T51" i="4"/>
  <c r="T52" i="4"/>
  <c r="R53" i="4"/>
  <c r="S53" i="4"/>
  <c r="P5" i="4"/>
  <c r="P13" i="4"/>
  <c r="P14" i="4"/>
  <c r="P17" i="4"/>
  <c r="P23" i="4"/>
  <c r="P25" i="4"/>
  <c r="P26" i="4"/>
  <c r="P27" i="4"/>
  <c r="P29" i="4"/>
  <c r="P33" i="4"/>
  <c r="P35" i="4"/>
  <c r="P37" i="4"/>
  <c r="P38" i="4"/>
  <c r="P39" i="4"/>
  <c r="P41" i="4"/>
  <c r="P43" i="4"/>
  <c r="P47" i="4"/>
  <c r="P48" i="4"/>
  <c r="P49" i="4"/>
  <c r="P51" i="4"/>
  <c r="P53" i="4"/>
  <c r="G11" i="5"/>
  <c r="G73" i="5"/>
  <c r="G7" i="5"/>
  <c r="G19" i="5"/>
  <c r="G74" i="5"/>
  <c r="G45" i="5"/>
  <c r="G38" i="5"/>
  <c r="G49" i="5"/>
  <c r="G71" i="5"/>
  <c r="G58" i="5"/>
  <c r="G75" i="5"/>
  <c r="G53" i="5"/>
  <c r="G52" i="5"/>
  <c r="G35" i="5"/>
  <c r="G39" i="5"/>
  <c r="G76" i="5"/>
  <c r="G61" i="5"/>
  <c r="G20" i="5"/>
  <c r="G57" i="5"/>
  <c r="G8" i="5"/>
  <c r="G22" i="5"/>
  <c r="G78" i="5"/>
  <c r="G16" i="5"/>
  <c r="G79" i="5"/>
  <c r="G50" i="5"/>
  <c r="G31" i="5"/>
  <c r="G13" i="5"/>
  <c r="G10" i="5"/>
  <c r="G80" i="5"/>
  <c r="G77" i="5"/>
  <c r="G12" i="5"/>
  <c r="G62" i="5"/>
  <c r="G5" i="5"/>
  <c r="G72" i="5"/>
  <c r="G29" i="5"/>
  <c r="G40" i="5"/>
  <c r="G3" i="5"/>
  <c r="G21" i="5"/>
  <c r="G51" i="5"/>
  <c r="G56" i="5"/>
  <c r="G41" i="5"/>
  <c r="G44" i="5"/>
  <c r="G65" i="5"/>
  <c r="G68" i="5"/>
  <c r="G46" i="5"/>
  <c r="G66" i="5"/>
  <c r="G34" i="5"/>
  <c r="G37" i="5"/>
  <c r="G14" i="5"/>
  <c r="G43" i="5"/>
  <c r="G32" i="5"/>
  <c r="G69" i="5"/>
  <c r="G64" i="5"/>
  <c r="G60" i="5"/>
  <c r="G23" i="5"/>
  <c r="G33" i="5"/>
  <c r="G70" i="5"/>
  <c r="G17" i="5"/>
  <c r="G42" i="5"/>
  <c r="G36" i="5"/>
  <c r="G48" i="5"/>
  <c r="G24" i="5"/>
  <c r="G54" i="5"/>
  <c r="G55" i="5"/>
  <c r="F11" i="5"/>
  <c r="F73" i="5"/>
  <c r="F7" i="5"/>
  <c r="F19" i="5"/>
  <c r="F74" i="5"/>
  <c r="F45" i="5"/>
  <c r="F38" i="5"/>
  <c r="F49" i="5"/>
  <c r="F71" i="5"/>
  <c r="F58" i="5"/>
  <c r="F75" i="5"/>
  <c r="F53" i="5"/>
  <c r="F52" i="5"/>
  <c r="F35" i="5"/>
  <c r="F39" i="5"/>
  <c r="F76" i="5"/>
  <c r="F61" i="5"/>
  <c r="F20" i="5"/>
  <c r="F57" i="5"/>
  <c r="F8" i="5"/>
  <c r="F22" i="5"/>
  <c r="F78" i="5"/>
  <c r="F16" i="5"/>
  <c r="F79" i="5"/>
  <c r="F50" i="5"/>
  <c r="F31" i="5"/>
  <c r="F13" i="5"/>
  <c r="F10" i="5"/>
  <c r="F80" i="5"/>
  <c r="F77" i="5"/>
  <c r="F12" i="5"/>
  <c r="F62" i="5"/>
  <c r="F5" i="5"/>
  <c r="F72" i="5"/>
  <c r="F29" i="5"/>
  <c r="F40" i="5"/>
  <c r="F3" i="5"/>
  <c r="F21" i="5"/>
  <c r="F51" i="5"/>
  <c r="F56" i="5"/>
  <c r="F41" i="5"/>
  <c r="F44" i="5"/>
  <c r="F65" i="5"/>
  <c r="F68" i="5"/>
  <c r="F46" i="5"/>
  <c r="F66" i="5"/>
  <c r="F34" i="5"/>
  <c r="F37" i="5"/>
  <c r="F14" i="5"/>
  <c r="F43" i="5"/>
  <c r="F32" i="5"/>
  <c r="F69" i="5"/>
  <c r="F64" i="5"/>
  <c r="F60" i="5"/>
  <c r="F23" i="5"/>
  <c r="F33" i="5"/>
  <c r="F70" i="5"/>
  <c r="F17" i="5"/>
  <c r="F42" i="5"/>
  <c r="F36" i="5"/>
  <c r="F48" i="5"/>
  <c r="F24" i="5"/>
  <c r="F54" i="5"/>
  <c r="F55" i="5"/>
  <c r="E11" i="5"/>
  <c r="E73" i="5"/>
  <c r="E7" i="5"/>
  <c r="E19" i="5"/>
  <c r="E74" i="5"/>
  <c r="E45" i="5"/>
  <c r="E38" i="5"/>
  <c r="E49" i="5"/>
  <c r="E71" i="5"/>
  <c r="E58" i="5"/>
  <c r="E75" i="5"/>
  <c r="E53" i="5"/>
  <c r="E52" i="5"/>
  <c r="E35" i="5"/>
  <c r="E39" i="5"/>
  <c r="E76" i="5"/>
  <c r="E61" i="5"/>
  <c r="E20" i="5"/>
  <c r="E57" i="5"/>
  <c r="E8" i="5"/>
  <c r="E22" i="5"/>
  <c r="E78" i="5"/>
  <c r="E16" i="5"/>
  <c r="E79" i="5"/>
  <c r="E50" i="5"/>
  <c r="E31" i="5"/>
  <c r="E13" i="5"/>
  <c r="E10" i="5"/>
  <c r="E80" i="5"/>
  <c r="E77" i="5"/>
  <c r="E12" i="5"/>
  <c r="E62" i="5"/>
  <c r="E5" i="5"/>
  <c r="E72" i="5"/>
  <c r="E29" i="5"/>
  <c r="E40" i="5"/>
  <c r="E3" i="5"/>
  <c r="E21" i="5"/>
  <c r="E51" i="5"/>
  <c r="E56" i="5"/>
  <c r="E41" i="5"/>
  <c r="E44" i="5"/>
  <c r="E65" i="5"/>
  <c r="E68" i="5"/>
  <c r="E46" i="5"/>
  <c r="E66" i="5"/>
  <c r="E34" i="5"/>
  <c r="E37" i="5"/>
  <c r="E14" i="5"/>
  <c r="E43" i="5"/>
  <c r="E32" i="5"/>
  <c r="E69" i="5"/>
  <c r="E64" i="5"/>
  <c r="E60" i="5"/>
  <c r="E23" i="5"/>
  <c r="E33" i="5"/>
  <c r="E70" i="5"/>
  <c r="E17" i="5"/>
  <c r="E42" i="5"/>
  <c r="E36" i="5"/>
  <c r="E48" i="5"/>
  <c r="E24" i="5"/>
  <c r="E54" i="5"/>
  <c r="E55" i="5"/>
  <c r="D11" i="5"/>
  <c r="D73" i="5"/>
  <c r="D7" i="5"/>
  <c r="D19" i="5"/>
  <c r="D74" i="5"/>
  <c r="D45" i="5"/>
  <c r="D38" i="5"/>
  <c r="D49" i="5"/>
  <c r="D71" i="5"/>
  <c r="D58" i="5"/>
  <c r="D75" i="5"/>
  <c r="D53" i="5"/>
  <c r="D52" i="5"/>
  <c r="D35" i="5"/>
  <c r="D39" i="5"/>
  <c r="D76" i="5"/>
  <c r="D61" i="5"/>
  <c r="D20" i="5"/>
  <c r="D57" i="5"/>
  <c r="D8" i="5"/>
  <c r="D22" i="5"/>
  <c r="D78" i="5"/>
  <c r="D16" i="5"/>
  <c r="D79" i="5"/>
  <c r="D50" i="5"/>
  <c r="D31" i="5"/>
  <c r="D13" i="5"/>
  <c r="D10" i="5"/>
  <c r="D80" i="5"/>
  <c r="D77" i="5"/>
  <c r="D12" i="5"/>
  <c r="D62" i="5"/>
  <c r="D5" i="5"/>
  <c r="D72" i="5"/>
  <c r="D29" i="5"/>
  <c r="D40" i="5"/>
  <c r="D3" i="5"/>
  <c r="D21" i="5"/>
  <c r="D51" i="5"/>
  <c r="D56" i="5"/>
  <c r="D41" i="5"/>
  <c r="D44" i="5"/>
  <c r="D65" i="5"/>
  <c r="D68" i="5"/>
  <c r="D46" i="5"/>
  <c r="D66" i="5"/>
  <c r="D34" i="5"/>
  <c r="D37" i="5"/>
  <c r="D14" i="5"/>
  <c r="D43" i="5"/>
  <c r="D32" i="5"/>
  <c r="D69" i="5"/>
  <c r="D64" i="5"/>
  <c r="D60" i="5"/>
  <c r="D23" i="5"/>
  <c r="D33" i="5"/>
  <c r="D70" i="5"/>
  <c r="D17" i="5"/>
  <c r="D42" i="5"/>
  <c r="D36" i="5"/>
  <c r="D48" i="5"/>
  <c r="D24" i="5"/>
  <c r="D54" i="5"/>
  <c r="D55" i="5"/>
  <c r="B11" i="5"/>
  <c r="C11" i="5" s="1"/>
  <c r="B73" i="5"/>
  <c r="C73" i="5" s="1"/>
  <c r="B7" i="5"/>
  <c r="C7" i="5" s="1"/>
  <c r="B19" i="5"/>
  <c r="C19" i="5" s="1"/>
  <c r="B74" i="5"/>
  <c r="C74" i="5" s="1"/>
  <c r="B45" i="5"/>
  <c r="C45" i="5" s="1"/>
  <c r="B38" i="5"/>
  <c r="C38" i="5" s="1"/>
  <c r="B49" i="5"/>
  <c r="C49" i="5" s="1"/>
  <c r="B71" i="5"/>
  <c r="C71" i="5" s="1"/>
  <c r="B58" i="5"/>
  <c r="C58" i="5" s="1"/>
  <c r="B75" i="5"/>
  <c r="C75" i="5" s="1"/>
  <c r="B53" i="5"/>
  <c r="C53" i="5" s="1"/>
  <c r="B52" i="5"/>
  <c r="C52" i="5" s="1"/>
  <c r="B35" i="5"/>
  <c r="C35" i="5" s="1"/>
  <c r="B39" i="5"/>
  <c r="C39" i="5" s="1"/>
  <c r="B76" i="5"/>
  <c r="C76" i="5" s="1"/>
  <c r="B61" i="5"/>
  <c r="C61" i="5" s="1"/>
  <c r="B20" i="5"/>
  <c r="C20" i="5" s="1"/>
  <c r="B57" i="5"/>
  <c r="C57" i="5" s="1"/>
  <c r="B8" i="5"/>
  <c r="C8" i="5" s="1"/>
  <c r="B22" i="5"/>
  <c r="C22" i="5" s="1"/>
  <c r="B78" i="5"/>
  <c r="C78" i="5" s="1"/>
  <c r="B16" i="5"/>
  <c r="C16" i="5" s="1"/>
  <c r="B79" i="5"/>
  <c r="C79" i="5" s="1"/>
  <c r="B50" i="5"/>
  <c r="C50" i="5" s="1"/>
  <c r="B31" i="5"/>
  <c r="C31" i="5" s="1"/>
  <c r="B13" i="5"/>
  <c r="C13" i="5" s="1"/>
  <c r="B10" i="5"/>
  <c r="C10" i="5" s="1"/>
  <c r="B80" i="5"/>
  <c r="C80" i="5" s="1"/>
  <c r="B77" i="5"/>
  <c r="C77" i="5" s="1"/>
  <c r="B12" i="5"/>
  <c r="C12" i="5" s="1"/>
  <c r="B62" i="5"/>
  <c r="C62" i="5" s="1"/>
  <c r="B5" i="5"/>
  <c r="C5" i="5" s="1"/>
  <c r="B72" i="5"/>
  <c r="C72" i="5" s="1"/>
  <c r="B29" i="5"/>
  <c r="C29" i="5" s="1"/>
  <c r="B40" i="5"/>
  <c r="C40" i="5" s="1"/>
  <c r="B3" i="5"/>
  <c r="C3" i="5" s="1"/>
  <c r="B21" i="5"/>
  <c r="C21" i="5" s="1"/>
  <c r="B51" i="5"/>
  <c r="C51" i="5" s="1"/>
  <c r="B56" i="5"/>
  <c r="C56" i="5" s="1"/>
  <c r="B41" i="5"/>
  <c r="C41" i="5" s="1"/>
  <c r="B44" i="5"/>
  <c r="C44" i="5" s="1"/>
  <c r="B65" i="5"/>
  <c r="C65" i="5" s="1"/>
  <c r="B68" i="5"/>
  <c r="C68" i="5" s="1"/>
  <c r="B46" i="5"/>
  <c r="C46" i="5" s="1"/>
  <c r="B66" i="5"/>
  <c r="C66" i="5" s="1"/>
  <c r="B34" i="5"/>
  <c r="C34" i="5" s="1"/>
  <c r="B37" i="5"/>
  <c r="C37" i="5" s="1"/>
  <c r="B14" i="5"/>
  <c r="C14" i="5" s="1"/>
  <c r="B43" i="5"/>
  <c r="C43" i="5" s="1"/>
  <c r="B32" i="5"/>
  <c r="C32" i="5" s="1"/>
  <c r="B69" i="5"/>
  <c r="C69" i="5" s="1"/>
  <c r="B64" i="5"/>
  <c r="C64" i="5" s="1"/>
  <c r="B60" i="5"/>
  <c r="C60" i="5" s="1"/>
  <c r="B23" i="5"/>
  <c r="C23" i="5" s="1"/>
  <c r="B33" i="5"/>
  <c r="C33" i="5" s="1"/>
  <c r="B70" i="5"/>
  <c r="C70" i="5" s="1"/>
  <c r="B17" i="5"/>
  <c r="C17" i="5" s="1"/>
  <c r="B42" i="5"/>
  <c r="C42" i="5" s="1"/>
  <c r="B36" i="5"/>
  <c r="C36" i="5" s="1"/>
  <c r="B48" i="5"/>
  <c r="C48" i="5" s="1"/>
  <c r="B24" i="5"/>
  <c r="C24" i="5" s="1"/>
  <c r="B54" i="5"/>
  <c r="C54" i="5" s="1"/>
  <c r="B55" i="5"/>
  <c r="C55" i="5" s="1"/>
  <c r="S18" i="7" l="1"/>
  <c r="P3" i="4"/>
  <c r="P15" i="4"/>
  <c r="Q8" i="4"/>
  <c r="Q18" i="4"/>
  <c r="Q32" i="4"/>
  <c r="P46" i="4"/>
  <c r="P36" i="4"/>
  <c r="P12" i="4"/>
  <c r="Q6" i="4"/>
  <c r="Q20" i="4"/>
  <c r="Q34" i="4"/>
  <c r="Q50" i="4"/>
  <c r="P11" i="4"/>
  <c r="Q4" i="4"/>
  <c r="Q22" i="4"/>
  <c r="Q28" i="4"/>
  <c r="Q44" i="4"/>
  <c r="P45" i="4"/>
  <c r="P10" i="4"/>
  <c r="Q2" i="4"/>
  <c r="Q16" i="4"/>
  <c r="Q30" i="4"/>
  <c r="Q42" i="4"/>
  <c r="Q52" i="4"/>
  <c r="P21" i="4"/>
  <c r="P9" i="4"/>
  <c r="Q40" i="4"/>
  <c r="P31" i="4"/>
  <c r="P19" i="4"/>
  <c r="P7" i="4"/>
  <c r="Q3" i="4"/>
  <c r="Q15" i="4"/>
  <c r="T24" i="4"/>
  <c r="P24" i="4"/>
  <c r="J58" i="4"/>
  <c r="U24" i="4"/>
  <c r="K58" i="4"/>
  <c r="Q24" i="4"/>
</calcChain>
</file>

<file path=xl/sharedStrings.xml><?xml version="1.0" encoding="utf-8"?>
<sst xmlns="http://schemas.openxmlformats.org/spreadsheetml/2006/main" count="362" uniqueCount="164">
  <si>
    <t>AQUA</t>
  </si>
  <si>
    <t>103 591 773</t>
  </si>
  <si>
    <t>ASTR</t>
  </si>
  <si>
    <t>1 332 696 640</t>
  </si>
  <si>
    <t>CNRU</t>
  </si>
  <si>
    <t>216 332 359</t>
  </si>
  <si>
    <t>DATA</t>
  </si>
  <si>
    <t>61 868 432</t>
  </si>
  <si>
    <t>ENPG</t>
  </si>
  <si>
    <t>261 160 851</t>
  </si>
  <si>
    <t>EUTR</t>
  </si>
  <si>
    <t>125 888 782</t>
  </si>
  <si>
    <t>FESH</t>
  </si>
  <si>
    <t>207 156 475</t>
  </si>
  <si>
    <t>HYDR</t>
  </si>
  <si>
    <t>113 767 986</t>
  </si>
  <si>
    <t>IRAO</t>
  </si>
  <si>
    <t>428 351 642</t>
  </si>
  <si>
    <t>IVAT</t>
  </si>
  <si>
    <t>201 330 768</t>
  </si>
  <si>
    <t>OGKB</t>
  </si>
  <si>
    <t>40 579 236</t>
  </si>
  <si>
    <t>OZPH</t>
  </si>
  <si>
    <t>126 014 255</t>
  </si>
  <si>
    <t>RAGR</t>
  </si>
  <si>
    <t>873 293 665</t>
  </si>
  <si>
    <t>RENI</t>
  </si>
  <si>
    <t>70 620 420</t>
  </si>
  <si>
    <t>RNFT</t>
  </si>
  <si>
    <t>401 119 742</t>
  </si>
  <si>
    <t>RTKM</t>
  </si>
  <si>
    <t>352 108 386</t>
  </si>
  <si>
    <t>SELG</t>
  </si>
  <si>
    <t>479 839 574</t>
  </si>
  <si>
    <t>SFIN</t>
  </si>
  <si>
    <t>916 124 973</t>
  </si>
  <si>
    <t>SGZH</t>
  </si>
  <si>
    <t>1 139 448 231</t>
  </si>
  <si>
    <t>SMLT</t>
  </si>
  <si>
    <t>6 434 470 743</t>
  </si>
  <si>
    <t>SOFL</t>
  </si>
  <si>
    <t>118 845 133</t>
  </si>
  <si>
    <t>SPBE</t>
  </si>
  <si>
    <t>731 061 781</t>
  </si>
  <si>
    <t>TRMK</t>
  </si>
  <si>
    <t>195 617 209</t>
  </si>
  <si>
    <t>UNAC</t>
  </si>
  <si>
    <t>122 859 626</t>
  </si>
  <si>
    <t>UWGN</t>
  </si>
  <si>
    <t>104 504 215</t>
  </si>
  <si>
    <t>VSEH</t>
  </si>
  <si>
    <t>86 561 757</t>
  </si>
  <si>
    <t>UEG4_FALCON</t>
  </si>
  <si>
    <t>LEG2_DRINKER</t>
  </si>
  <si>
    <t>WEG3_BATYA</t>
  </si>
  <si>
    <t>VEG1_VENUS</t>
  </si>
  <si>
    <t>WEG4_PUPPY</t>
  </si>
  <si>
    <t>PEG18_BLAZE</t>
  </si>
  <si>
    <t>LEG2_LYNX</t>
  </si>
  <si>
    <t>PEG14_RENEGADE</t>
  </si>
  <si>
    <t>LEG2_FENNEC</t>
  </si>
  <si>
    <t>PEG4_U3</t>
  </si>
  <si>
    <t>PEG11_KUSURUKEN</t>
  </si>
  <si>
    <t>PEG17_PHOENIX</t>
  </si>
  <si>
    <t>LEG1_PIN</t>
  </si>
  <si>
    <t>UEG6_VULTURE</t>
  </si>
  <si>
    <t>LEG1_LAKSAe</t>
  </si>
  <si>
    <t>UEG4_PELICAN</t>
  </si>
  <si>
    <t>LEG2_DRG</t>
  </si>
  <si>
    <t>LEG1_PHOGA</t>
  </si>
  <si>
    <t>UEG6_PIGEON</t>
  </si>
  <si>
    <t>SEG3_FORCE</t>
  </si>
  <si>
    <t>PEG13_DWDDCr</t>
  </si>
  <si>
    <t>PEG26_UNKNOWN</t>
  </si>
  <si>
    <t>PEG4_UNIVERSAL</t>
  </si>
  <si>
    <t>Кол-во</t>
  </si>
  <si>
    <t>Прибыль</t>
  </si>
  <si>
    <t>Убыток</t>
  </si>
  <si>
    <t>LEG2_HOTS</t>
  </si>
  <si>
    <t>LEG2_LOGAN</t>
  </si>
  <si>
    <t>LEG1_OKROSHKA</t>
  </si>
  <si>
    <t>LEG2_ALKASH</t>
  </si>
  <si>
    <t>WEG7_PARADOX</t>
  </si>
  <si>
    <t>UEG6_ADVENTURE</t>
  </si>
  <si>
    <t>UEG6_SHERIFF</t>
  </si>
  <si>
    <t>UEG7_PIGEON</t>
  </si>
  <si>
    <t>UEG7_ADVENTURE</t>
  </si>
  <si>
    <t>PEG14_RANGER</t>
  </si>
  <si>
    <t>PEG18_UTER</t>
  </si>
  <si>
    <t>SEG1_LITE</t>
  </si>
  <si>
    <t>PEG18_UTER2</t>
  </si>
  <si>
    <t>PEG18_DIABLO2</t>
  </si>
  <si>
    <t>PEG18_ANDUIN</t>
  </si>
  <si>
    <t>PEG19_ANUBARAK</t>
  </si>
  <si>
    <t>LEG1_BIBI2</t>
  </si>
  <si>
    <t>LEG1_IGOGOSHA2</t>
  </si>
  <si>
    <t>LEG1_IRONANNY2</t>
  </si>
  <si>
    <t>LEG1_CC2</t>
  </si>
  <si>
    <t>Абс</t>
  </si>
  <si>
    <t>Отн</t>
  </si>
  <si>
    <t>Нейтрал</t>
  </si>
  <si>
    <t>ПроцПД</t>
  </si>
  <si>
    <t>Средний объем</t>
  </si>
  <si>
    <t>Результаты</t>
  </si>
  <si>
    <t>Новые</t>
  </si>
  <si>
    <t>САП</t>
  </si>
  <si>
    <t>СОП</t>
  </si>
  <si>
    <t>Сумматор</t>
  </si>
  <si>
    <t>Тип</t>
  </si>
  <si>
    <t>Стратегия</t>
  </si>
  <si>
    <t>Номер</t>
  </si>
  <si>
    <t>Названия строк</t>
  </si>
  <si>
    <t>Общий итог</t>
  </si>
  <si>
    <t>Сумма по полю Абс</t>
  </si>
  <si>
    <t>LEG</t>
  </si>
  <si>
    <t>PEG</t>
  </si>
  <si>
    <t>SEG</t>
  </si>
  <si>
    <t>UEG</t>
  </si>
  <si>
    <t>VEG</t>
  </si>
  <si>
    <t>WEG</t>
  </si>
  <si>
    <t>Сумма по полю Отн</t>
  </si>
  <si>
    <t>Сумма по полю Кол-во</t>
  </si>
  <si>
    <t>Сумма по полю Прибыль</t>
  </si>
  <si>
    <t>Сумма по полю Нейтрал</t>
  </si>
  <si>
    <t>Сумма по полю Убыток</t>
  </si>
  <si>
    <t>UEG7_CARRIER</t>
  </si>
  <si>
    <t>UEG7_CELEBRITY</t>
  </si>
  <si>
    <t>VEG1_MOON</t>
  </si>
  <si>
    <t>UEG4_PELICAN2</t>
  </si>
  <si>
    <t>UEG8_SOLDIER</t>
  </si>
  <si>
    <t>UEG9_GRAVY2</t>
  </si>
  <si>
    <t>UEG7_CANNIBAL</t>
  </si>
  <si>
    <t>UEG7_LOVERGOOSE</t>
  </si>
  <si>
    <t>UEG9_BIRDWATCHER2</t>
  </si>
  <si>
    <t>VEG1_EARTH</t>
  </si>
  <si>
    <t>UEG7_DETECTIVE</t>
  </si>
  <si>
    <t>WEG4_DOG</t>
  </si>
  <si>
    <t>Total</t>
  </si>
  <si>
    <t>PEG30_ETC2</t>
  </si>
  <si>
    <t>PEG17_ZEALOT</t>
  </si>
  <si>
    <t>PEG17_SELENDIS</t>
  </si>
  <si>
    <t>PEG17_TEMPLAR</t>
  </si>
  <si>
    <t>PEG17_PROBIUS</t>
  </si>
  <si>
    <t>PEG31_HYPERION</t>
  </si>
  <si>
    <t>UEG4_CANADIAN</t>
  </si>
  <si>
    <t>WEG8_MOUSE</t>
  </si>
  <si>
    <t>WEG7_PARADOX2</t>
  </si>
  <si>
    <t>PEG11_ALICEMARASATO</t>
  </si>
  <si>
    <t>PEG13_DUNE</t>
  </si>
  <si>
    <t>PEG11_RAYMIYAMOTO</t>
  </si>
  <si>
    <t>UEG9_POLITICIAN</t>
  </si>
  <si>
    <t>PEG14_REGAL</t>
  </si>
  <si>
    <t>PEG30_ETC</t>
  </si>
  <si>
    <t>UEG6_SURVIVALIST</t>
  </si>
  <si>
    <t>LSRG</t>
  </si>
  <si>
    <t>PRMD</t>
  </si>
  <si>
    <t>RTKMP</t>
  </si>
  <si>
    <t>PEG4_U4</t>
  </si>
  <si>
    <t>PEG26_JUNKRAT</t>
  </si>
  <si>
    <t>PEG17_AIUR</t>
  </si>
  <si>
    <t>PEG4_U5</t>
  </si>
  <si>
    <t>UEG7_LOVERDUCK</t>
  </si>
  <si>
    <t>PEG11_SAYATAKAGI</t>
  </si>
  <si>
    <t>LEG3a_LOTR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</si>
</sst>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rgb="FF6A9955"/>
      <name val="Consolas"/>
      <family val="3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0" borderId="0" xfId="0" applyNumberFormat="1"/>
    <xf numFmtId="0" fontId="0" fillId="0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7" borderId="2" xfId="0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Border="1"/>
    <xf numFmtId="14" fontId="0" fillId="0" borderId="0" xfId="0" applyNumberForma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Обычный" xfId="0" builtinId="0"/>
  </cellStyles>
  <dxfs count="161"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ru-RU"/>
              <a:t>График доходности по типу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Динамика!$A$3</c:f>
              <c:strCache>
                <c:ptCount val="1"/>
                <c:pt idx="0">
                  <c:v>LEG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Динамика!$B$3:$W$3</c:f>
              <c:numCache>
                <c:formatCode>General</c:formatCode>
                <c:ptCount val="22"/>
                <c:pt idx="0">
                  <c:v>-20.100000000000001</c:v>
                </c:pt>
                <c:pt idx="1">
                  <c:v>-39.9</c:v>
                </c:pt>
                <c:pt idx="2">
                  <c:v>-22.1</c:v>
                </c:pt>
                <c:pt idx="3">
                  <c:v>-0.9</c:v>
                </c:pt>
                <c:pt idx="4">
                  <c:v>28.400000000000013</c:v>
                </c:pt>
                <c:pt idx="5">
                  <c:v>41.999999999999993</c:v>
                </c:pt>
                <c:pt idx="6">
                  <c:v>-17.000000000000021</c:v>
                </c:pt>
                <c:pt idx="7">
                  <c:v>6.4999999999999858</c:v>
                </c:pt>
                <c:pt idx="8">
                  <c:v>11.699999999999982</c:v>
                </c:pt>
                <c:pt idx="9">
                  <c:v>-20.599999999999994</c:v>
                </c:pt>
                <c:pt idx="10">
                  <c:v>-27.200000000000003</c:v>
                </c:pt>
                <c:pt idx="11">
                  <c:v>-12.000000000000028</c:v>
                </c:pt>
                <c:pt idx="12">
                  <c:v>2.5</c:v>
                </c:pt>
                <c:pt idx="13">
                  <c:v>16.199999999999989</c:v>
                </c:pt>
                <c:pt idx="14">
                  <c:v>32</c:v>
                </c:pt>
                <c:pt idx="15">
                  <c:v>18.600000000000009</c:v>
                </c:pt>
                <c:pt idx="16">
                  <c:v>1.3999999999999773</c:v>
                </c:pt>
                <c:pt idx="17">
                  <c:v>0.79999999999998295</c:v>
                </c:pt>
                <c:pt idx="18">
                  <c:v>4.6999999999999602</c:v>
                </c:pt>
                <c:pt idx="19">
                  <c:v>16.69999999999996</c:v>
                </c:pt>
                <c:pt idx="20">
                  <c:v>6.1999999999999602</c:v>
                </c:pt>
                <c:pt idx="21">
                  <c:v>1.9999999999999574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1-4EA1-BB49-B1363A96F70B}"/>
            </c:ext>
          </c:extLst>
        </c:ser>
        <c:ser>
          <c:idx val="1"/>
          <c:order val="1"/>
          <c:tx>
            <c:strRef>
              <c:f>Динамика!$A$4</c:f>
              <c:strCache>
                <c:ptCount val="1"/>
                <c:pt idx="0">
                  <c:v>PEG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Динамика!$B$4:$W$4</c:f>
              <c:numCache>
                <c:formatCode>General</c:formatCode>
                <c:ptCount val="22"/>
                <c:pt idx="0">
                  <c:v>19.7</c:v>
                </c:pt>
                <c:pt idx="1">
                  <c:v>50.7</c:v>
                </c:pt>
                <c:pt idx="2">
                  <c:v>68.3</c:v>
                </c:pt>
                <c:pt idx="3">
                  <c:v>83</c:v>
                </c:pt>
                <c:pt idx="4">
                  <c:v>83.199999999999989</c:v>
                </c:pt>
                <c:pt idx="5">
                  <c:v>85.699999999999989</c:v>
                </c:pt>
                <c:pt idx="6">
                  <c:v>70.199999999999989</c:v>
                </c:pt>
                <c:pt idx="7">
                  <c:v>85.5</c:v>
                </c:pt>
                <c:pt idx="8">
                  <c:v>108.70000000000002</c:v>
                </c:pt>
                <c:pt idx="9">
                  <c:v>112.89999999999998</c:v>
                </c:pt>
                <c:pt idx="10">
                  <c:v>109.69999999999996</c:v>
                </c:pt>
                <c:pt idx="11">
                  <c:v>74.499999999999972</c:v>
                </c:pt>
                <c:pt idx="12">
                  <c:v>43.700000000000024</c:v>
                </c:pt>
                <c:pt idx="13">
                  <c:v>180.00000000000006</c:v>
                </c:pt>
                <c:pt idx="14">
                  <c:v>214.19999999999993</c:v>
                </c:pt>
                <c:pt idx="15">
                  <c:v>243.99999999999994</c:v>
                </c:pt>
                <c:pt idx="16">
                  <c:v>235.49999999999989</c:v>
                </c:pt>
                <c:pt idx="17">
                  <c:v>168.99999999999994</c:v>
                </c:pt>
                <c:pt idx="18">
                  <c:v>196.3</c:v>
                </c:pt>
                <c:pt idx="19">
                  <c:v>282.3</c:v>
                </c:pt>
                <c:pt idx="20">
                  <c:v>261.2</c:v>
                </c:pt>
                <c:pt idx="21">
                  <c:v>254.5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1-4EA1-BB49-B1363A96F70B}"/>
            </c:ext>
          </c:extLst>
        </c:ser>
        <c:ser>
          <c:idx val="2"/>
          <c:order val="2"/>
          <c:tx>
            <c:strRef>
              <c:f>Динамика!$A$5</c:f>
              <c:strCache>
                <c:ptCount val="1"/>
                <c:pt idx="0">
                  <c:v>SEG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Динамика!$B$5:$W$5</c:f>
              <c:numCache>
                <c:formatCode>General</c:formatCode>
                <c:ptCount val="22"/>
                <c:pt idx="0">
                  <c:v>1.9</c:v>
                </c:pt>
                <c:pt idx="1">
                  <c:v>9.9</c:v>
                </c:pt>
                <c:pt idx="2">
                  <c:v>15.9</c:v>
                </c:pt>
                <c:pt idx="3">
                  <c:v>18.100000000000001</c:v>
                </c:pt>
                <c:pt idx="4">
                  <c:v>20.299999999999997</c:v>
                </c:pt>
                <c:pt idx="5">
                  <c:v>28</c:v>
                </c:pt>
                <c:pt idx="6">
                  <c:v>17.899999999999999</c:v>
                </c:pt>
                <c:pt idx="7">
                  <c:v>12.699999999999998</c:v>
                </c:pt>
                <c:pt idx="8">
                  <c:v>14.799999999999997</c:v>
                </c:pt>
                <c:pt idx="9">
                  <c:v>14.799999999999997</c:v>
                </c:pt>
                <c:pt idx="10">
                  <c:v>14.799999999999997</c:v>
                </c:pt>
                <c:pt idx="11">
                  <c:v>14.799999999999997</c:v>
                </c:pt>
                <c:pt idx="12">
                  <c:v>14.799999999999997</c:v>
                </c:pt>
                <c:pt idx="13">
                  <c:v>16.999999999999996</c:v>
                </c:pt>
                <c:pt idx="14">
                  <c:v>22.099999999999998</c:v>
                </c:pt>
                <c:pt idx="15">
                  <c:v>20</c:v>
                </c:pt>
                <c:pt idx="16">
                  <c:v>20.2</c:v>
                </c:pt>
                <c:pt idx="17">
                  <c:v>14.2</c:v>
                </c:pt>
                <c:pt idx="18">
                  <c:v>13.899999999999999</c:v>
                </c:pt>
                <c:pt idx="19">
                  <c:v>24.7</c:v>
                </c:pt>
                <c:pt idx="20">
                  <c:v>26.599999999999998</c:v>
                </c:pt>
                <c:pt idx="2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51-4EA1-BB49-B1363A96F70B}"/>
            </c:ext>
          </c:extLst>
        </c:ser>
        <c:ser>
          <c:idx val="3"/>
          <c:order val="3"/>
          <c:tx>
            <c:strRef>
              <c:f>Динамика!$A$6</c:f>
              <c:strCache>
                <c:ptCount val="1"/>
                <c:pt idx="0">
                  <c:v>UEG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Динамика!$B$6:$W$6</c:f>
              <c:numCache>
                <c:formatCode>General</c:formatCode>
                <c:ptCount val="22"/>
                <c:pt idx="0">
                  <c:v>-21</c:v>
                </c:pt>
                <c:pt idx="1">
                  <c:v>-41</c:v>
                </c:pt>
                <c:pt idx="2">
                  <c:v>-1.4</c:v>
                </c:pt>
                <c:pt idx="3">
                  <c:v>-1.9</c:v>
                </c:pt>
                <c:pt idx="4">
                  <c:v>-15.199999999999998</c:v>
                </c:pt>
                <c:pt idx="5">
                  <c:v>-51.5</c:v>
                </c:pt>
                <c:pt idx="6">
                  <c:v>-55.599999999999994</c:v>
                </c:pt>
                <c:pt idx="7">
                  <c:v>-23.799999999999994</c:v>
                </c:pt>
                <c:pt idx="8">
                  <c:v>-14.999999999999993</c:v>
                </c:pt>
                <c:pt idx="9">
                  <c:v>-31.5</c:v>
                </c:pt>
                <c:pt idx="10">
                  <c:v>-16.200000000000003</c:v>
                </c:pt>
                <c:pt idx="11">
                  <c:v>-28.299999999999994</c:v>
                </c:pt>
                <c:pt idx="12">
                  <c:v>-65.099999999999994</c:v>
                </c:pt>
                <c:pt idx="13">
                  <c:v>-54.59999999999998</c:v>
                </c:pt>
                <c:pt idx="14">
                  <c:v>-55.599999999999994</c:v>
                </c:pt>
                <c:pt idx="15">
                  <c:v>-75.999999999999972</c:v>
                </c:pt>
                <c:pt idx="16">
                  <c:v>-69.59999999999998</c:v>
                </c:pt>
                <c:pt idx="17">
                  <c:v>-72.099999999999994</c:v>
                </c:pt>
                <c:pt idx="18">
                  <c:v>-62.1</c:v>
                </c:pt>
                <c:pt idx="19">
                  <c:v>29.500000000000028</c:v>
                </c:pt>
                <c:pt idx="20">
                  <c:v>10.299999999999972</c:v>
                </c:pt>
                <c:pt idx="21">
                  <c:v>11.699999999999974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51-4EA1-BB49-B1363A96F70B}"/>
            </c:ext>
          </c:extLst>
        </c:ser>
        <c:ser>
          <c:idx val="4"/>
          <c:order val="4"/>
          <c:tx>
            <c:strRef>
              <c:f>Динамика!$A$7</c:f>
              <c:strCache>
                <c:ptCount val="1"/>
                <c:pt idx="0">
                  <c:v>VEG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Динамика!$B$7:$W$7</c:f>
              <c:numCache>
                <c:formatCode>General</c:formatCode>
                <c:ptCount val="22"/>
                <c:pt idx="0">
                  <c:v>-18.100000000000001</c:v>
                </c:pt>
                <c:pt idx="1">
                  <c:v>-18.100000000000001</c:v>
                </c:pt>
                <c:pt idx="2">
                  <c:v>-18.100000000000001</c:v>
                </c:pt>
                <c:pt idx="3">
                  <c:v>-22.7</c:v>
                </c:pt>
                <c:pt idx="4">
                  <c:v>-22.700000000000003</c:v>
                </c:pt>
                <c:pt idx="5">
                  <c:v>-37.5</c:v>
                </c:pt>
                <c:pt idx="6">
                  <c:v>-37.5</c:v>
                </c:pt>
                <c:pt idx="7">
                  <c:v>-47.1</c:v>
                </c:pt>
                <c:pt idx="8">
                  <c:v>-54.800000000000004</c:v>
                </c:pt>
                <c:pt idx="9">
                  <c:v>-31.200000000000003</c:v>
                </c:pt>
                <c:pt idx="10">
                  <c:v>-27.1</c:v>
                </c:pt>
                <c:pt idx="11">
                  <c:v>-25.800000000000004</c:v>
                </c:pt>
                <c:pt idx="12">
                  <c:v>-32.600000000000009</c:v>
                </c:pt>
                <c:pt idx="13">
                  <c:v>-37.400000000000006</c:v>
                </c:pt>
                <c:pt idx="14">
                  <c:v>-41.100000000000009</c:v>
                </c:pt>
                <c:pt idx="15">
                  <c:v>-32.800000000000004</c:v>
                </c:pt>
                <c:pt idx="16">
                  <c:v>-50.500000000000007</c:v>
                </c:pt>
                <c:pt idx="17">
                  <c:v>-77</c:v>
                </c:pt>
                <c:pt idx="18">
                  <c:v>-76.2</c:v>
                </c:pt>
                <c:pt idx="19">
                  <c:v>-58.900000000000006</c:v>
                </c:pt>
                <c:pt idx="20">
                  <c:v>-67.800000000000011</c:v>
                </c:pt>
                <c:pt idx="21">
                  <c:v>-67.800000000000011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51-4EA1-BB49-B1363A96F70B}"/>
            </c:ext>
          </c:extLst>
        </c:ser>
        <c:ser>
          <c:idx val="5"/>
          <c:order val="5"/>
          <c:tx>
            <c:strRef>
              <c:f>Динамика!$A$8</c:f>
              <c:strCache>
                <c:ptCount val="1"/>
                <c:pt idx="0">
                  <c:v>WEG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Динамика!$B$8:$W$8</c:f>
              <c:numCache>
                <c:formatCode>General</c:formatCode>
                <c:ptCount val="22"/>
                <c:pt idx="0">
                  <c:v>44.5</c:v>
                </c:pt>
                <c:pt idx="1">
                  <c:v>44.1</c:v>
                </c:pt>
                <c:pt idx="2">
                  <c:v>45.1</c:v>
                </c:pt>
                <c:pt idx="3">
                  <c:v>59.4</c:v>
                </c:pt>
                <c:pt idx="4">
                  <c:v>62.400000000000006</c:v>
                </c:pt>
                <c:pt idx="5">
                  <c:v>77.3</c:v>
                </c:pt>
                <c:pt idx="6">
                  <c:v>74.400000000000006</c:v>
                </c:pt>
                <c:pt idx="7">
                  <c:v>73</c:v>
                </c:pt>
                <c:pt idx="8">
                  <c:v>66.100000000000009</c:v>
                </c:pt>
                <c:pt idx="9">
                  <c:v>51.6</c:v>
                </c:pt>
                <c:pt idx="10">
                  <c:v>63</c:v>
                </c:pt>
                <c:pt idx="11">
                  <c:v>42</c:v>
                </c:pt>
                <c:pt idx="12">
                  <c:v>46.5</c:v>
                </c:pt>
                <c:pt idx="13">
                  <c:v>36.199999999999989</c:v>
                </c:pt>
                <c:pt idx="14">
                  <c:v>37.499999999999986</c:v>
                </c:pt>
                <c:pt idx="15">
                  <c:v>38.899999999999991</c:v>
                </c:pt>
                <c:pt idx="16">
                  <c:v>38.999999999999986</c:v>
                </c:pt>
                <c:pt idx="17">
                  <c:v>34.699999999999989</c:v>
                </c:pt>
                <c:pt idx="18">
                  <c:v>36.199999999999989</c:v>
                </c:pt>
                <c:pt idx="19">
                  <c:v>35.299999999999983</c:v>
                </c:pt>
                <c:pt idx="20">
                  <c:v>34.299999999999983</c:v>
                </c:pt>
                <c:pt idx="21">
                  <c:v>20.799999999999983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51-4EA1-BB49-B1363A96F70B}"/>
            </c:ext>
          </c:extLst>
        </c:ser>
        <c:ser>
          <c:idx val="6"/>
          <c:order val="6"/>
          <c:tx>
            <c:strRef>
              <c:f>Динамика!$A$9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Динамика!$B$2:$W$2</c:f>
              <c:numCache>
                <c:formatCode>m/d/yyyy</c:formatCode>
                <c:ptCount val="22"/>
                <c:pt idx="0">
                  <c:v>46285</c:v>
                </c:pt>
                <c:pt idx="1">
                  <c:v>46286</c:v>
                </c:pt>
                <c:pt idx="2">
                  <c:v>46287</c:v>
                </c:pt>
                <c:pt idx="3">
                  <c:v>46288</c:v>
                </c:pt>
                <c:pt idx="4">
                  <c:v>46290</c:v>
                </c:pt>
                <c:pt idx="5">
                  <c:v>46293</c:v>
                </c:pt>
                <c:pt idx="6">
                  <c:v>46294</c:v>
                </c:pt>
                <c:pt idx="7">
                  <c:v>46295</c:v>
                </c:pt>
                <c:pt idx="8">
                  <c:v>46297</c:v>
                </c:pt>
                <c:pt idx="9">
                  <c:v>46300</c:v>
                </c:pt>
                <c:pt idx="10">
                  <c:v>46301</c:v>
                </c:pt>
                <c:pt idx="11">
                  <c:v>46302</c:v>
                </c:pt>
                <c:pt idx="12">
                  <c:v>46304</c:v>
                </c:pt>
                <c:pt idx="13">
                  <c:v>46307</c:v>
                </c:pt>
                <c:pt idx="14">
                  <c:v>46308</c:v>
                </c:pt>
                <c:pt idx="15">
                  <c:v>46309</c:v>
                </c:pt>
                <c:pt idx="16">
                  <c:v>46311</c:v>
                </c:pt>
                <c:pt idx="17">
                  <c:v>46314</c:v>
                </c:pt>
                <c:pt idx="18">
                  <c:v>46315</c:v>
                </c:pt>
                <c:pt idx="19">
                  <c:v>46316</c:v>
                </c:pt>
                <c:pt idx="20">
                  <c:v>46318</c:v>
                </c:pt>
                <c:pt idx="21">
                  <c:v>46321</c:v>
                </c:pt>
              </c:numCache>
            </c:numRef>
          </c:cat>
          <c:val>
            <c:numRef>
              <c:f>Динамика!$B$9:$W$9</c:f>
              <c:numCache>
                <c:formatCode>General</c:formatCode>
                <c:ptCount val="22"/>
                <c:pt idx="0">
                  <c:v>6.8999999999999915</c:v>
                </c:pt>
                <c:pt idx="1">
                  <c:v>5.7000000000000028</c:v>
                </c:pt>
                <c:pt idx="2">
                  <c:v>87.699999999999989</c:v>
                </c:pt>
                <c:pt idx="3">
                  <c:v>134.99999999999997</c:v>
                </c:pt>
                <c:pt idx="4">
                  <c:v>156.39999999999998</c:v>
                </c:pt>
                <c:pt idx="5">
                  <c:v>144</c:v>
                </c:pt>
                <c:pt idx="6">
                  <c:v>52.399999999999977</c:v>
                </c:pt>
                <c:pt idx="7">
                  <c:v>106.79999999999998</c:v>
                </c:pt>
                <c:pt idx="8">
                  <c:v>131.5</c:v>
                </c:pt>
                <c:pt idx="9">
                  <c:v>95.999999999999972</c:v>
                </c:pt>
                <c:pt idx="10">
                  <c:v>116.99999999999994</c:v>
                </c:pt>
                <c:pt idx="11">
                  <c:v>65.199999999999932</c:v>
                </c:pt>
                <c:pt idx="12">
                  <c:v>9.8000000000000185</c:v>
                </c:pt>
                <c:pt idx="13">
                  <c:v>157.40000000000006</c:v>
                </c:pt>
                <c:pt idx="14">
                  <c:v>209.09999999999997</c:v>
                </c:pt>
                <c:pt idx="15">
                  <c:v>212.7</c:v>
                </c:pt>
                <c:pt idx="16">
                  <c:v>175.99999999999989</c:v>
                </c:pt>
                <c:pt idx="17">
                  <c:v>69.599999999999909</c:v>
                </c:pt>
                <c:pt idx="18">
                  <c:v>112.79999999999997</c:v>
                </c:pt>
                <c:pt idx="19">
                  <c:v>329.6</c:v>
                </c:pt>
                <c:pt idx="20">
                  <c:v>270.79999999999995</c:v>
                </c:pt>
                <c:pt idx="21">
                  <c:v>252.1999999999999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51-4EA1-BB49-B1363A96F7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3467775"/>
        <c:axId val="2043470687"/>
      </c:lineChart>
      <c:dateAx>
        <c:axId val="20434677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3470687"/>
        <c:crosses val="autoZero"/>
        <c:auto val="1"/>
        <c:lblOffset val="100"/>
        <c:baseTimeUnit val="days"/>
      </c:dateAx>
      <c:valAx>
        <c:axId val="2043470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34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190506</xdr:colOff>
      <xdr:row>19</xdr:row>
      <xdr:rowOff>33336</xdr:rowOff>
    </xdr:from>
    <xdr:to>
      <xdr:col>25</xdr:col>
      <xdr:colOff>57150</xdr:colOff>
      <xdr:row>54</xdr:row>
      <xdr:rowOff>133349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FAAB13A-A797-4BF8-804D-CD6E8443C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321.926394444446" createdVersion="7" refreshedVersion="7" minRefreshableVersion="3" recordCount="80" xr:uid="{3D6F248A-0360-4477-B017-E96CAA4B0EB4}">
  <cacheSource type="worksheet">
    <worksheetSource ref="A1:L1048576" sheet="Результаты"/>
  </cacheSource>
  <cacheFields count="12">
    <cacheField name="Номер" numFmtId="0">
      <sharedItems containsString="0" containsBlank="1" containsNumber="1" containsInteger="1" minValue="1" maxValue="78"/>
    </cacheField>
    <cacheField name="Стратегия" numFmtId="0">
      <sharedItems containsBlank="1"/>
    </cacheField>
    <cacheField name="Абс" numFmtId="0">
      <sharedItems containsString="0" containsBlank="1" containsNumber="1" minValue="-46.7" maxValue="159.10000000000002"/>
    </cacheField>
    <cacheField name="Отн" numFmtId="0">
      <sharedItems containsString="0" containsBlank="1" containsNumber="1" minValue="-9.3400000000000016" maxValue="31.820000000000007"/>
    </cacheField>
    <cacheField name="Кол-во" numFmtId="0">
      <sharedItems containsString="0" containsBlank="1" containsNumber="1" containsInteger="1" minValue="1" maxValue="126"/>
    </cacheField>
    <cacheField name="Прибыль" numFmtId="0">
      <sharedItems containsString="0" containsBlank="1" containsNumber="1" containsInteger="1" minValue="0" maxValue="73"/>
    </cacheField>
    <cacheField name="Нейтрал" numFmtId="0">
      <sharedItems containsString="0" containsBlank="1" containsNumber="1" containsInteger="1" minValue="0" maxValue="2"/>
    </cacheField>
    <cacheField name="Убыток" numFmtId="0">
      <sharedItems containsString="0" containsBlank="1" containsNumber="1" containsInteger="1" minValue="0" maxValue="51"/>
    </cacheField>
    <cacheField name="ПроцПД" numFmtId="0">
      <sharedItems containsString="0" containsBlank="1" containsNumber="1" minValue="0" maxValue="80"/>
    </cacheField>
    <cacheField name="САП" numFmtId="0">
      <sharedItems containsString="0" containsBlank="1" containsNumber="1" minValue="-19.5" maxValue="2.7652173913043474"/>
    </cacheField>
    <cacheField name="СОП" numFmtId="0">
      <sharedItems containsString="0" containsBlank="1" containsNumber="1" minValue="-3.9" maxValue="0.55304347826086964"/>
    </cacheField>
    <cacheField name="Тип" numFmtId="0">
      <sharedItems containsBlank="1" count="7">
        <s v="PEG"/>
        <s v="UEG"/>
        <s v="LEG"/>
        <s v="SEG"/>
        <s v="WEG"/>
        <s v="VE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s v="PEG17_PHOENIX"/>
    <n v="159.10000000000002"/>
    <n v="31.820000000000007"/>
    <n v="126"/>
    <n v="73"/>
    <n v="1"/>
    <n v="51"/>
    <n v="57.936507936507944"/>
    <n v="1.2626984126984129"/>
    <n v="0.25253968253968262"/>
    <x v="0"/>
  </r>
  <r>
    <n v="2"/>
    <s v="UEG6_SURVIVALIST"/>
    <n v="63.599999999999994"/>
    <n v="12.72"/>
    <n v="23"/>
    <n v="17"/>
    <n v="0"/>
    <n v="6"/>
    <n v="73.91304347826086"/>
    <n v="2.7652173913043474"/>
    <n v="0.55304347826086964"/>
    <x v="1"/>
  </r>
  <r>
    <n v="3"/>
    <s v="PEG13_DUNE"/>
    <n v="59.1"/>
    <n v="11.820000000000004"/>
    <n v="27"/>
    <n v="18"/>
    <n v="0"/>
    <n v="9"/>
    <n v="66.666666666666657"/>
    <n v="2.1888888888888891"/>
    <n v="0.43777777777777793"/>
    <x v="0"/>
  </r>
  <r>
    <n v="4"/>
    <s v="LEG2_FENNEC"/>
    <n v="56.399999999999977"/>
    <n v="11.280000000000001"/>
    <n v="38"/>
    <n v="25"/>
    <n v="0"/>
    <n v="13"/>
    <n v="65.789473684210535"/>
    <n v="1.484210526315789"/>
    <n v="0.29684210526315791"/>
    <x v="2"/>
  </r>
  <r>
    <n v="5"/>
    <s v="PEG30_ETC2"/>
    <n v="54.699999999999989"/>
    <n v="10.940000000000001"/>
    <n v="27"/>
    <n v="18"/>
    <n v="0"/>
    <n v="9"/>
    <n v="66.666666666666657"/>
    <n v="2.0259259259259257"/>
    <n v="0.40518518518518526"/>
    <x v="0"/>
  </r>
  <r>
    <n v="6"/>
    <s v="PEG11_RAYMIYAMOTO"/>
    <n v="35.100000000000009"/>
    <n v="7.0200000000000014"/>
    <n v="20"/>
    <n v="13"/>
    <n v="0"/>
    <n v="7"/>
    <n v="65"/>
    <n v="1.7550000000000003"/>
    <n v="0.35100000000000009"/>
    <x v="0"/>
  </r>
  <r>
    <n v="7"/>
    <s v="PEG14_RENEGADE"/>
    <n v="35.1"/>
    <n v="7.0200000000000031"/>
    <n v="17"/>
    <n v="8"/>
    <n v="0"/>
    <n v="9"/>
    <n v="47.058823529411761"/>
    <n v="2.0647058823529414"/>
    <n v="0.41294117647058842"/>
    <x v="0"/>
  </r>
  <r>
    <n v="8"/>
    <s v="SEG1_LITE"/>
    <n v="34.5"/>
    <n v="6.9"/>
    <n v="18"/>
    <n v="13"/>
    <n v="0"/>
    <n v="5"/>
    <n v="72.222222222222214"/>
    <n v="1.9166666666666667"/>
    <n v="0.38333333333333336"/>
    <x v="3"/>
  </r>
  <r>
    <n v="9"/>
    <s v="UEG9_GRAVY2"/>
    <n v="30.300000000000004"/>
    <n v="6.0600000000000005"/>
    <n v="24"/>
    <n v="14"/>
    <n v="0"/>
    <n v="10"/>
    <n v="58.333333333333336"/>
    <n v="1.2625000000000002"/>
    <n v="0.2525"/>
    <x v="1"/>
  </r>
  <r>
    <n v="10"/>
    <s v="LEG1_LAKSAe"/>
    <n v="29.900000000000006"/>
    <n v="5.9800000000000013"/>
    <n v="13"/>
    <n v="9"/>
    <n v="0"/>
    <n v="4"/>
    <n v="69.230769230769226"/>
    <n v="2.3000000000000003"/>
    <n v="0.46000000000000008"/>
    <x v="2"/>
  </r>
  <r>
    <n v="11"/>
    <s v="PEG30_ETC"/>
    <n v="25.9"/>
    <n v="5.1800000000000006"/>
    <n v="11"/>
    <n v="6"/>
    <n v="0"/>
    <n v="5"/>
    <n v="54.54545454545454"/>
    <n v="2.3545454545454545"/>
    <n v="0.47090909090909094"/>
    <x v="0"/>
  </r>
  <r>
    <n v="12"/>
    <s v="WEG3_BATYA"/>
    <n v="24.999999999999986"/>
    <n v="5.0000000000000027"/>
    <n v="72"/>
    <n v="39"/>
    <n v="1"/>
    <n v="32"/>
    <n v="54.166666666666664"/>
    <n v="0.34722222222222204"/>
    <n v="6.9444444444444475E-2"/>
    <x v="4"/>
  </r>
  <r>
    <n v="13"/>
    <s v="PEG11_KUSURUKEN"/>
    <n v="23.4"/>
    <n v="4.6800000000000015"/>
    <n v="44"/>
    <n v="22"/>
    <n v="1"/>
    <n v="21"/>
    <n v="50"/>
    <n v="0.53181818181818175"/>
    <n v="0.1063636363636364"/>
    <x v="0"/>
  </r>
  <r>
    <n v="14"/>
    <s v="UEG6_ADVENTURE"/>
    <n v="21.8"/>
    <n v="4.3599999999999994"/>
    <n v="21"/>
    <n v="10"/>
    <n v="2"/>
    <n v="9"/>
    <n v="47.619047619047613"/>
    <n v="1.0380952380952382"/>
    <n v="0.20761904761904759"/>
    <x v="1"/>
  </r>
  <r>
    <n v="15"/>
    <s v="PEG14_RANGER"/>
    <n v="18.899999999999999"/>
    <n v="3.7800000000000002"/>
    <n v="11"/>
    <n v="7"/>
    <n v="0"/>
    <n v="4"/>
    <n v="63.636363636363633"/>
    <n v="1.718181818181818"/>
    <n v="0.34363636363636368"/>
    <x v="0"/>
  </r>
  <r>
    <n v="16"/>
    <s v="UEG9_POLITICIAN"/>
    <n v="18"/>
    <n v="3.5999999999999996"/>
    <n v="14"/>
    <n v="8"/>
    <n v="2"/>
    <n v="4"/>
    <n v="57.142857142857139"/>
    <n v="1.2857142857142858"/>
    <n v="0.25714285714285712"/>
    <x v="1"/>
  </r>
  <r>
    <n v="17"/>
    <s v="WEG4_PUPPY"/>
    <n v="16"/>
    <n v="3.1999999999999993"/>
    <n v="13"/>
    <n v="8"/>
    <n v="1"/>
    <n v="4"/>
    <n v="61.53846153846154"/>
    <n v="1.2307692307692308"/>
    <n v="0.24615384615384611"/>
    <x v="4"/>
  </r>
  <r>
    <n v="18"/>
    <s v="PEG17_AIUR"/>
    <n v="12.2"/>
    <n v="2.44"/>
    <n v="5"/>
    <n v="4"/>
    <n v="1"/>
    <n v="0"/>
    <n v="80"/>
    <n v="2.44"/>
    <n v="0.48799999999999999"/>
    <x v="0"/>
  </r>
  <r>
    <n v="19"/>
    <s v="LEG1_IGOGOSHA2"/>
    <n v="11.399999999999997"/>
    <n v="2.2800000000000002"/>
    <n v="9"/>
    <n v="5"/>
    <n v="0"/>
    <n v="4"/>
    <n v="55.555555555555557"/>
    <n v="1.2666666666666664"/>
    <n v="0.25333333333333335"/>
    <x v="2"/>
  </r>
  <r>
    <n v="20"/>
    <s v="LEG1_PIN"/>
    <n v="9.2000000000000028"/>
    <n v="1.8400000000000003"/>
    <n v="25"/>
    <n v="12"/>
    <n v="1"/>
    <n v="12"/>
    <n v="48"/>
    <n v="0.3680000000000001"/>
    <n v="7.3600000000000013E-2"/>
    <x v="2"/>
  </r>
  <r>
    <n v="21"/>
    <s v="UEG6_SHERIFF"/>
    <n v="9"/>
    <n v="1.7999999999999998"/>
    <n v="6"/>
    <n v="3"/>
    <n v="0"/>
    <n v="3"/>
    <n v="50"/>
    <n v="1.5"/>
    <n v="0.3"/>
    <x v="1"/>
  </r>
  <r>
    <n v="22"/>
    <s v="WEG4_DOG"/>
    <n v="5.8000000000000007"/>
    <n v="1.1600000000000001"/>
    <n v="16"/>
    <n v="10"/>
    <n v="0"/>
    <n v="6"/>
    <n v="62.5"/>
    <n v="0.36250000000000004"/>
    <n v="7.2500000000000009E-2"/>
    <x v="4"/>
  </r>
  <r>
    <n v="23"/>
    <s v="LEG2_DRINKER"/>
    <n v="5.1000000000000014"/>
    <n v="1.0200000000000011"/>
    <n v="23"/>
    <n v="11"/>
    <n v="0"/>
    <n v="12"/>
    <n v="47.826086956521742"/>
    <n v="0.22173913043478266"/>
    <n v="4.4347826086956574E-2"/>
    <x v="2"/>
  </r>
  <r>
    <n v="24"/>
    <s v="PEG26_JUNKRAT"/>
    <n v="4.0999999999999996"/>
    <n v="0.81999999999999984"/>
    <n v="4"/>
    <n v="2"/>
    <n v="0"/>
    <n v="2"/>
    <n v="50"/>
    <n v="1.0249999999999999"/>
    <n v="0.20499999999999996"/>
    <x v="0"/>
  </r>
  <r>
    <n v="25"/>
    <s v="UEG7_LOVERGOOSE"/>
    <n v="2.8"/>
    <n v="0.55999999999999983"/>
    <n v="10"/>
    <n v="5"/>
    <n v="0"/>
    <n v="5"/>
    <n v="50"/>
    <n v="0.27999999999999997"/>
    <n v="5.599999999999998E-2"/>
    <x v="1"/>
  </r>
  <r>
    <n v="26"/>
    <s v="VEG1_EARTH"/>
    <n v="1.5999999999999996"/>
    <n v="0.31999999999999962"/>
    <n v="20"/>
    <n v="8"/>
    <n v="0"/>
    <n v="12"/>
    <n v="40"/>
    <n v="7.9999999999999988E-2"/>
    <n v="1.599999999999998E-2"/>
    <x v="5"/>
  </r>
  <r>
    <n v="27"/>
    <s v="PEG4_U3"/>
    <n v="1.1999999999999993"/>
    <n v="0.23999999999999988"/>
    <n v="8"/>
    <n v="5"/>
    <n v="1"/>
    <n v="2"/>
    <n v="62.5"/>
    <n v="0.14999999999999991"/>
    <n v="2.9999999999999985E-2"/>
    <x v="0"/>
  </r>
  <r>
    <n v="28"/>
    <s v="PEG13_DWDDCr"/>
    <n v="1"/>
    <n v="0.2"/>
    <n v="2"/>
    <n v="1"/>
    <n v="0"/>
    <n v="1"/>
    <n v="50"/>
    <n v="0.5"/>
    <n v="0.1"/>
    <x v="0"/>
  </r>
  <r>
    <n v="29"/>
    <s v="PEG17_ZEALOT"/>
    <n v="0.90000000000000213"/>
    <n v="0.18000000000000016"/>
    <n v="9"/>
    <n v="5"/>
    <n v="0"/>
    <n v="4"/>
    <n v="55.555555555555557"/>
    <n v="0.10000000000000024"/>
    <n v="2.0000000000000018E-2"/>
    <x v="0"/>
  </r>
  <r>
    <n v="30"/>
    <s v="LEG2_LYNX"/>
    <n v="9.9999999999992539E-2"/>
    <n v="1.999999999999913E-2"/>
    <n v="30"/>
    <n v="17"/>
    <n v="0"/>
    <n v="13"/>
    <n v="56.666666666666664"/>
    <n v="3.3333333333330846E-3"/>
    <n v="6.666666666666377E-4"/>
    <x v="2"/>
  </r>
  <r>
    <n v="31"/>
    <s v="PEG4_U4"/>
    <n v="0"/>
    <n v="0"/>
    <n v="1"/>
    <n v="0"/>
    <n v="1"/>
    <n v="0"/>
    <n v="0"/>
    <n v="0"/>
    <n v="0"/>
    <x v="0"/>
  </r>
  <r>
    <n v="32"/>
    <s v="LEG3a_LOTR"/>
    <n v="-0.5"/>
    <n v="-0.1"/>
    <n v="1"/>
    <n v="0"/>
    <n v="0"/>
    <n v="1"/>
    <n v="0"/>
    <n v="-0.5"/>
    <n v="-0.1"/>
    <x v="2"/>
  </r>
  <r>
    <n v="33"/>
    <s v="PEG4_UNIVERSAL"/>
    <n v="-0.69999999999999929"/>
    <n v="-0.13999999999999901"/>
    <n v="22"/>
    <n v="12"/>
    <n v="1"/>
    <n v="9"/>
    <n v="54.54545454545454"/>
    <n v="-3.1818181818181787E-2"/>
    <n v="-6.3636363636363187E-3"/>
    <x v="0"/>
  </r>
  <r>
    <n v="34"/>
    <s v="LEG2_LOGAN"/>
    <n v="-0.70000000000000107"/>
    <n v="-0.14000000000000012"/>
    <n v="12"/>
    <n v="9"/>
    <n v="0"/>
    <n v="3"/>
    <n v="75"/>
    <n v="-5.8333333333333424E-2"/>
    <n v="-1.1666666666666678E-2"/>
    <x v="2"/>
  </r>
  <r>
    <n v="35"/>
    <s v="PEG4_U5"/>
    <n v="-0.9"/>
    <n v="-0.18"/>
    <n v="1"/>
    <n v="0"/>
    <n v="0"/>
    <n v="1"/>
    <n v="0"/>
    <n v="-0.9"/>
    <n v="-0.18"/>
    <x v="0"/>
  </r>
  <r>
    <n v="36"/>
    <s v="UEG8_SOLDIER"/>
    <n v="-1.3000000000000007"/>
    <n v="-0.26000000000000023"/>
    <n v="41"/>
    <n v="18"/>
    <n v="0"/>
    <n v="23"/>
    <n v="43.902439024390247"/>
    <n v="-3.1707317073170746E-2"/>
    <n v="-6.341463414634152E-3"/>
    <x v="1"/>
  </r>
  <r>
    <n v="37"/>
    <s v="PEG11_ALICEMARASATO"/>
    <n v="-1.4000000000000004"/>
    <n v="-0.28000000000000025"/>
    <n v="4"/>
    <n v="2"/>
    <n v="0"/>
    <n v="2"/>
    <n v="50"/>
    <n v="-0.35000000000000009"/>
    <n v="-7.0000000000000062E-2"/>
    <x v="0"/>
  </r>
  <r>
    <n v="38"/>
    <s v="LEG1_OKROSHKA"/>
    <n v="-1.6"/>
    <n v="-0.32"/>
    <n v="1"/>
    <n v="0"/>
    <n v="0"/>
    <n v="1"/>
    <n v="0"/>
    <n v="-1.6"/>
    <n v="-0.32"/>
    <x v="2"/>
  </r>
  <r>
    <n v="39"/>
    <s v="UEG7_LOVERDUCK"/>
    <n v="-2.5"/>
    <n v="-0.5"/>
    <n v="1"/>
    <n v="0"/>
    <n v="0"/>
    <n v="1"/>
    <n v="0"/>
    <n v="-2.5"/>
    <n v="-0.5"/>
    <x v="1"/>
  </r>
  <r>
    <n v="40"/>
    <s v="UEG4_PELICAN"/>
    <n v="-2.9000000000000004"/>
    <n v="-0.58000000000000007"/>
    <n v="5"/>
    <n v="3"/>
    <n v="0"/>
    <n v="2"/>
    <n v="60"/>
    <n v="-0.58000000000000007"/>
    <n v="-0.11600000000000002"/>
    <x v="1"/>
  </r>
  <r>
    <n v="41"/>
    <s v="UEG7_PIGEON"/>
    <n v="-3.0999999999999996"/>
    <n v="-0.61999999999999988"/>
    <n v="4"/>
    <n v="1"/>
    <n v="0"/>
    <n v="3"/>
    <n v="25"/>
    <n v="-0.77499999999999991"/>
    <n v="-0.15499999999999997"/>
    <x v="1"/>
  </r>
  <r>
    <n v="42"/>
    <s v="UEG7_CANNIBAL"/>
    <n v="-3.3"/>
    <n v="-0.6599999999999997"/>
    <n v="13"/>
    <n v="6"/>
    <n v="0"/>
    <n v="7"/>
    <n v="46.153846153846153"/>
    <n v="-0.25384615384615383"/>
    <n v="-5.0769230769230747E-2"/>
    <x v="1"/>
  </r>
  <r>
    <n v="43"/>
    <s v="SEG3_FORCE"/>
    <n v="-3.4999999999999996"/>
    <n v="-0.70000000000000018"/>
    <n v="9"/>
    <n v="5"/>
    <n v="0"/>
    <n v="4"/>
    <n v="55.555555555555557"/>
    <n v="-0.38888888888888884"/>
    <n v="-7.7777777777777793E-2"/>
    <x v="3"/>
  </r>
  <r>
    <n v="44"/>
    <s v="WEG8_MOUSE"/>
    <n v="-4"/>
    <n v="-0.79999999999999993"/>
    <n v="2"/>
    <n v="1"/>
    <n v="0"/>
    <n v="1"/>
    <n v="50"/>
    <n v="-2"/>
    <n v="-0.39999999999999997"/>
    <x v="4"/>
  </r>
  <r>
    <n v="45"/>
    <s v="LEG1_IRONANNY2"/>
    <n v="-4.4000000000000004"/>
    <n v="-0.88"/>
    <n v="6"/>
    <n v="2"/>
    <n v="0"/>
    <n v="4"/>
    <n v="33.333333333333329"/>
    <n v="-0.73333333333333339"/>
    <n v="-0.14666666666666667"/>
    <x v="2"/>
  </r>
  <r>
    <n v="46"/>
    <s v="UEG7_ADVENTURE"/>
    <n v="-4.7"/>
    <n v="-0.94000000000000006"/>
    <n v="5"/>
    <n v="1"/>
    <n v="0"/>
    <n v="4"/>
    <n v="20"/>
    <n v="-0.94000000000000006"/>
    <n v="-0.188"/>
    <x v="1"/>
  </r>
  <r>
    <n v="47"/>
    <s v="PEG17_TEMPLAR"/>
    <n v="-4.9999999999999991"/>
    <n v="-0.99999999999999989"/>
    <n v="3"/>
    <n v="1"/>
    <n v="0"/>
    <n v="2"/>
    <n v="33.333333333333329"/>
    <n v="-1.6666666666666663"/>
    <n v="-0.33333333333333331"/>
    <x v="0"/>
  </r>
  <r>
    <n v="48"/>
    <s v="PEG11_SAYATAKAGI"/>
    <n v="-5.5"/>
    <n v="-1.0999999999999999"/>
    <n v="1"/>
    <n v="0"/>
    <n v="0"/>
    <n v="1"/>
    <n v="0"/>
    <n v="-5.5"/>
    <n v="-1.0999999999999999"/>
    <x v="0"/>
  </r>
  <r>
    <n v="49"/>
    <s v="LEG1_PHOGA"/>
    <n v="-6"/>
    <n v="-1.2"/>
    <n v="1"/>
    <n v="0"/>
    <n v="0"/>
    <n v="1"/>
    <n v="0"/>
    <n v="-6"/>
    <n v="-1.2"/>
    <x v="2"/>
  </r>
  <r>
    <n v="50"/>
    <s v="PEG18_UTER"/>
    <n v="-6.2"/>
    <n v="-1.24"/>
    <n v="5"/>
    <n v="3"/>
    <n v="1"/>
    <n v="1"/>
    <n v="60"/>
    <n v="-1.24"/>
    <n v="-0.248"/>
    <x v="0"/>
  </r>
  <r>
    <n v="51"/>
    <s v="PEG17_PROBIUS"/>
    <n v="-7.2999999999999989"/>
    <n v="-1.4599999999999997"/>
    <n v="10"/>
    <n v="7"/>
    <n v="0"/>
    <n v="3"/>
    <n v="70"/>
    <n v="-0.72999999999999987"/>
    <n v="-0.14599999999999996"/>
    <x v="0"/>
  </r>
  <r>
    <n v="52"/>
    <s v="PEG31_HYPERION"/>
    <n v="-7.4999999999999991"/>
    <n v="-1.4999999999999998"/>
    <n v="8"/>
    <n v="4"/>
    <n v="0"/>
    <n v="4"/>
    <n v="50"/>
    <n v="-0.93749999999999989"/>
    <n v="-0.18749999999999997"/>
    <x v="0"/>
  </r>
  <r>
    <n v="53"/>
    <s v="PEG26_UNKNOWN"/>
    <n v="-7.5"/>
    <n v="-1.5"/>
    <n v="5"/>
    <n v="2"/>
    <n v="0"/>
    <n v="3"/>
    <n v="40"/>
    <n v="-1.5"/>
    <n v="-0.3"/>
    <x v="0"/>
  </r>
  <r>
    <n v="54"/>
    <s v="WEG7_PARADOX"/>
    <n v="-7.5000000000000009"/>
    <n v="-1.5"/>
    <n v="6"/>
    <n v="3"/>
    <n v="0"/>
    <n v="3"/>
    <n v="50"/>
    <n v="-1.2500000000000002"/>
    <n v="-0.25"/>
    <x v="4"/>
  </r>
  <r>
    <n v="55"/>
    <s v="UEG6_PIGEON"/>
    <n v="-7.6999999999999975"/>
    <n v="-1.5399999999999998"/>
    <n v="14"/>
    <n v="5"/>
    <n v="0"/>
    <n v="9"/>
    <n v="35.714285714285715"/>
    <n v="-0.54999999999999982"/>
    <n v="-0.10999999999999999"/>
    <x v="1"/>
  </r>
  <r>
    <n v="56"/>
    <s v="PEG14_REGAL"/>
    <n v="-8.5"/>
    <n v="-1.6999999999999997"/>
    <n v="3"/>
    <n v="1"/>
    <n v="0"/>
    <n v="2"/>
    <n v="33.333333333333329"/>
    <n v="-2.8333333333333335"/>
    <n v="-0.56666666666666654"/>
    <x v="0"/>
  </r>
  <r>
    <n v="57"/>
    <s v="UEG7_DETECTIVE"/>
    <n v="-8.6"/>
    <n v="-1.7199999999999998"/>
    <n v="5"/>
    <n v="2"/>
    <n v="0"/>
    <n v="3"/>
    <n v="40"/>
    <n v="-1.72"/>
    <n v="-0.34399999999999997"/>
    <x v="1"/>
  </r>
  <r>
    <n v="58"/>
    <s v="PEG18_DIABLO2"/>
    <n v="-9.1"/>
    <n v="-1.82"/>
    <n v="5"/>
    <n v="1"/>
    <n v="0"/>
    <n v="4"/>
    <n v="20"/>
    <n v="-1.8199999999999998"/>
    <n v="-0.36399999999999999"/>
    <x v="0"/>
  </r>
  <r>
    <n v="59"/>
    <s v="UEG6_VULTURE"/>
    <n v="-9.6999999999999993"/>
    <n v="-1.9400000000000002"/>
    <n v="8"/>
    <n v="3"/>
    <n v="0"/>
    <n v="5"/>
    <n v="37.5"/>
    <n v="-1.2124999999999999"/>
    <n v="-0.24250000000000002"/>
    <x v="1"/>
  </r>
  <r>
    <n v="60"/>
    <s v="UEG7_CELEBRITY"/>
    <n v="-10.199999999999999"/>
    <n v="-2.04"/>
    <n v="4"/>
    <n v="0"/>
    <n v="0"/>
    <n v="4"/>
    <n v="0"/>
    <n v="-2.5499999999999998"/>
    <n v="-0.51"/>
    <x v="1"/>
  </r>
  <r>
    <n v="61"/>
    <s v="UEG4_PELICAN2"/>
    <n v="-11.4"/>
    <n v="-2.2800000000000002"/>
    <n v="1"/>
    <n v="0"/>
    <n v="0"/>
    <n v="1"/>
    <n v="0"/>
    <n v="-11.4"/>
    <n v="-2.2800000000000002"/>
    <x v="1"/>
  </r>
  <r>
    <n v="62"/>
    <s v="UEG4_FALCON"/>
    <n v="-12"/>
    <n v="-2.4"/>
    <n v="2"/>
    <n v="0"/>
    <n v="0"/>
    <n v="2"/>
    <n v="0"/>
    <n v="-6"/>
    <n v="-1.2"/>
    <x v="1"/>
  </r>
  <r>
    <n v="63"/>
    <s v="LEG2_DRG"/>
    <n v="-12"/>
    <n v="-2.4"/>
    <n v="5"/>
    <n v="2"/>
    <n v="0"/>
    <n v="3"/>
    <n v="40"/>
    <n v="-2.4"/>
    <n v="-0.48"/>
    <x v="2"/>
  </r>
  <r>
    <n v="64"/>
    <s v="PEG18_UTER2"/>
    <n v="-13"/>
    <n v="-2.6000000000000005"/>
    <n v="7"/>
    <n v="3"/>
    <n v="0"/>
    <n v="4"/>
    <n v="42.857142857142854"/>
    <n v="-1.8571428571428572"/>
    <n v="-0.3714285714285715"/>
    <x v="0"/>
  </r>
  <r>
    <n v="65"/>
    <s v="LEG1_CC2"/>
    <n v="-13.299999999999999"/>
    <n v="-2.6599999999999997"/>
    <n v="9"/>
    <n v="4"/>
    <n v="0"/>
    <n v="5"/>
    <n v="44.444444444444443"/>
    <n v="-1.4777777777777776"/>
    <n v="-0.29555555555555552"/>
    <x v="2"/>
  </r>
  <r>
    <n v="66"/>
    <s v="PEG17_SELENDIS"/>
    <n v="-13.4"/>
    <n v="-2.6799999999999997"/>
    <n v="5"/>
    <n v="2"/>
    <n v="0"/>
    <n v="3"/>
    <n v="40"/>
    <n v="-2.68"/>
    <n v="-0.53599999999999992"/>
    <x v="0"/>
  </r>
  <r>
    <n v="67"/>
    <s v="LEG2_HOTS"/>
    <n v="-14"/>
    <n v="-2.8"/>
    <n v="5"/>
    <n v="0"/>
    <n v="1"/>
    <n v="4"/>
    <n v="0"/>
    <n v="-2.8"/>
    <n v="-0.55999999999999994"/>
    <x v="2"/>
  </r>
  <r>
    <n v="68"/>
    <s v="WEG7_PARADOX2"/>
    <n v="-14.5"/>
    <n v="-2.9"/>
    <n v="6"/>
    <n v="2"/>
    <n v="1"/>
    <n v="3"/>
    <n v="33.333333333333329"/>
    <n v="-2.4166666666666665"/>
    <n v="-0.48333333333333334"/>
    <x v="4"/>
  </r>
  <r>
    <n v="69"/>
    <s v="LEG1_BIBI2"/>
    <n v="-14.700000000000003"/>
    <n v="-2.9399999999999991"/>
    <n v="18"/>
    <n v="8"/>
    <n v="0"/>
    <n v="10"/>
    <n v="44.444444444444443"/>
    <n v="-0.81666666666666687"/>
    <n v="-0.16333333333333327"/>
    <x v="2"/>
  </r>
  <r>
    <n v="70"/>
    <s v="UEG7_CARRIER"/>
    <n v="-15.099999999999998"/>
    <n v="-3.0200000000000005"/>
    <n v="6"/>
    <n v="0"/>
    <n v="1"/>
    <n v="5"/>
    <n v="0"/>
    <n v="-2.5166666666666662"/>
    <n v="-0.50333333333333341"/>
    <x v="1"/>
  </r>
  <r>
    <n v="71"/>
    <s v="UEG9_BIRDWATCHER2"/>
    <n v="-19.5"/>
    <n v="-3.9"/>
    <n v="1"/>
    <n v="0"/>
    <n v="0"/>
    <n v="1"/>
    <n v="0"/>
    <n v="-19.5"/>
    <n v="-3.9"/>
    <x v="1"/>
  </r>
  <r>
    <n v="72"/>
    <s v="UEG4_CANADIAN"/>
    <n v="-21.799999999999997"/>
    <n v="-4.3599999999999994"/>
    <n v="4"/>
    <n v="1"/>
    <n v="0"/>
    <n v="3"/>
    <n v="25"/>
    <n v="-5.4499999999999993"/>
    <n v="-1.0899999999999999"/>
    <x v="1"/>
  </r>
  <r>
    <n v="73"/>
    <s v="PEG18_ANDUIN"/>
    <n v="-22.200000000000003"/>
    <n v="-4.4399999999999986"/>
    <n v="15"/>
    <n v="6"/>
    <n v="0"/>
    <n v="9"/>
    <n v="40"/>
    <n v="-1.4800000000000002"/>
    <n v="-0.29599999999999993"/>
    <x v="0"/>
  </r>
  <r>
    <n v="74"/>
    <s v="VEG1_VENUS"/>
    <n v="-22.700000000000003"/>
    <n v="-4.5399999999999991"/>
    <n v="19"/>
    <n v="9"/>
    <n v="0"/>
    <n v="10"/>
    <n v="47.368421052631575"/>
    <n v="-1.1947368421052633"/>
    <n v="-0.23894736842105258"/>
    <x v="5"/>
  </r>
  <r>
    <n v="75"/>
    <s v="PEG19_ANUBARAK"/>
    <n v="-25.799999999999997"/>
    <n v="-5.16"/>
    <n v="12"/>
    <n v="4"/>
    <n v="0"/>
    <n v="8"/>
    <n v="33.333333333333329"/>
    <n v="-2.15"/>
    <n v="-0.43"/>
    <x v="0"/>
  </r>
  <r>
    <n v="76"/>
    <s v="PEG18_BLAZE"/>
    <n v="-42.199999999999996"/>
    <n v="-8.44"/>
    <n v="19"/>
    <n v="8"/>
    <n v="1"/>
    <n v="10"/>
    <n v="42.105263157894733"/>
    <n v="-2.2210526315789472"/>
    <n v="-0.44421052631578944"/>
    <x v="0"/>
  </r>
  <r>
    <n v="77"/>
    <s v="LEG2_ALKASH"/>
    <n v="-42.900000000000006"/>
    <n v="-8.58"/>
    <n v="4"/>
    <n v="0"/>
    <n v="0"/>
    <n v="4"/>
    <n v="0"/>
    <n v="-10.725000000000001"/>
    <n v="-2.145"/>
    <x v="2"/>
  </r>
  <r>
    <n v="78"/>
    <s v="VEG1_MOON"/>
    <n v="-46.7"/>
    <n v="-9.3400000000000016"/>
    <n v="22"/>
    <n v="7"/>
    <n v="0"/>
    <n v="15"/>
    <n v="31.818181818181817"/>
    <n v="-2.122727272727273"/>
    <n v="-0.42454545454545461"/>
    <x v="5"/>
  </r>
  <r>
    <m/>
    <m/>
    <m/>
    <m/>
    <m/>
    <m/>
    <m/>
    <m/>
    <m/>
    <m/>
    <m/>
    <x v="6"/>
  </r>
  <r>
    <m/>
    <m/>
    <m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3FD17-FFE6-464D-A72F-02ADC3CE221B}" name="Сводная таблица3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G10" firstHeaderRow="0" firstDataRow="1" firstDataCol="1"/>
  <pivotFields count="12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8">
        <item x="2"/>
        <item x="0"/>
        <item x="3"/>
        <item x="1"/>
        <item x="5"/>
        <item x="4"/>
        <item h="1" x="6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умма по полю Абс" fld="2" baseField="0" baseItem="0"/>
    <dataField name="Сумма по полю Отн" fld="3" baseField="0" baseItem="0"/>
    <dataField name="Сумма по полю Кол-во" fld="4" baseField="0" baseItem="0"/>
    <dataField name="Сумма по полю Прибыль" fld="5" baseField="0" baseItem="0"/>
    <dataField name="Сумма по полю Нейтрал" fld="6" baseField="0" baseItem="0"/>
    <dataField name="Сумма по полю Убыток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workbookViewId="0">
      <selection activeCell="H13" sqref="H13"/>
    </sheetView>
  </sheetViews>
  <sheetFormatPr defaultRowHeight="15" x14ac:dyDescent="0.25"/>
  <cols>
    <col min="3" max="3" width="20.7109375" customWidth="1"/>
  </cols>
  <sheetData>
    <row r="2" spans="2:8" x14ac:dyDescent="0.25">
      <c r="B2" t="s">
        <v>0</v>
      </c>
      <c r="C2" s="1" t="s">
        <v>1</v>
      </c>
      <c r="H2" t="s">
        <v>0</v>
      </c>
    </row>
    <row r="3" spans="2:8" x14ac:dyDescent="0.25">
      <c r="B3" t="s">
        <v>2</v>
      </c>
      <c r="C3" s="1" t="s">
        <v>3</v>
      </c>
      <c r="H3" t="s">
        <v>6</v>
      </c>
    </row>
    <row r="4" spans="2:8" ht="15.75" thickBot="1" x14ac:dyDescent="0.3">
      <c r="B4" t="s">
        <v>4</v>
      </c>
      <c r="C4" s="2" t="s">
        <v>5</v>
      </c>
      <c r="H4" t="s">
        <v>12</v>
      </c>
    </row>
    <row r="5" spans="2:8" x14ac:dyDescent="0.25">
      <c r="B5" t="s">
        <v>6</v>
      </c>
      <c r="C5" s="1" t="s">
        <v>7</v>
      </c>
      <c r="H5" t="s">
        <v>14</v>
      </c>
    </row>
    <row r="6" spans="2:8" ht="15.75" thickBot="1" x14ac:dyDescent="0.3">
      <c r="B6" t="s">
        <v>8</v>
      </c>
      <c r="C6" s="2" t="s">
        <v>9</v>
      </c>
      <c r="H6" t="s">
        <v>18</v>
      </c>
    </row>
    <row r="7" spans="2:8" ht="15.75" thickBot="1" x14ac:dyDescent="0.3">
      <c r="B7" t="s">
        <v>10</v>
      </c>
      <c r="C7" s="2" t="s">
        <v>11</v>
      </c>
      <c r="H7" t="s">
        <v>154</v>
      </c>
    </row>
    <row r="8" spans="2:8" ht="15.75" thickBot="1" x14ac:dyDescent="0.3">
      <c r="B8" t="s">
        <v>12</v>
      </c>
      <c r="C8" s="2" t="s">
        <v>13</v>
      </c>
      <c r="H8" t="s">
        <v>20</v>
      </c>
    </row>
    <row r="9" spans="2:8" ht="15.75" thickBot="1" x14ac:dyDescent="0.3">
      <c r="B9" t="s">
        <v>14</v>
      </c>
      <c r="C9" s="2" t="s">
        <v>15</v>
      </c>
      <c r="H9" t="s">
        <v>22</v>
      </c>
    </row>
    <row r="10" spans="2:8" x14ac:dyDescent="0.25">
      <c r="B10" s="3" t="s">
        <v>16</v>
      </c>
      <c r="C10" s="1" t="s">
        <v>17</v>
      </c>
      <c r="F10" t="s">
        <v>155</v>
      </c>
      <c r="H10" t="s">
        <v>28</v>
      </c>
    </row>
    <row r="11" spans="2:8" ht="15.75" thickBot="1" x14ac:dyDescent="0.3">
      <c r="B11" t="s">
        <v>18</v>
      </c>
      <c r="C11" s="2" t="s">
        <v>19</v>
      </c>
      <c r="F11" t="s">
        <v>50</v>
      </c>
      <c r="H11" t="s">
        <v>30</v>
      </c>
    </row>
    <row r="12" spans="2:8" ht="15.75" thickBot="1" x14ac:dyDescent="0.3">
      <c r="B12" t="s">
        <v>20</v>
      </c>
      <c r="C12" s="2" t="s">
        <v>21</v>
      </c>
      <c r="H12" t="s">
        <v>156</v>
      </c>
    </row>
    <row r="13" spans="2:8" ht="15.75" thickBot="1" x14ac:dyDescent="0.3">
      <c r="B13" t="s">
        <v>22</v>
      </c>
      <c r="C13" s="2" t="s">
        <v>23</v>
      </c>
      <c r="H13" t="s">
        <v>32</v>
      </c>
    </row>
    <row r="14" spans="2:8" ht="15.75" thickBot="1" x14ac:dyDescent="0.3">
      <c r="C14" s="2"/>
    </row>
    <row r="15" spans="2:8" ht="15.75" thickBot="1" x14ac:dyDescent="0.3">
      <c r="B15" t="s">
        <v>24</v>
      </c>
      <c r="C15" s="2" t="s">
        <v>25</v>
      </c>
    </row>
    <row r="16" spans="2:8" x14ac:dyDescent="0.25">
      <c r="B16" t="s">
        <v>26</v>
      </c>
      <c r="C16" s="1" t="s">
        <v>27</v>
      </c>
    </row>
    <row r="17" spans="2:3" x14ac:dyDescent="0.25">
      <c r="B17" t="s">
        <v>28</v>
      </c>
      <c r="C17" s="1" t="s">
        <v>29</v>
      </c>
    </row>
    <row r="18" spans="2:3" ht="15.75" thickBot="1" x14ac:dyDescent="0.3">
      <c r="B18" t="s">
        <v>30</v>
      </c>
      <c r="C18" s="2" t="s">
        <v>31</v>
      </c>
    </row>
    <row r="19" spans="2:3" ht="15.75" thickBot="1" x14ac:dyDescent="0.3">
      <c r="B19" t="s">
        <v>32</v>
      </c>
      <c r="C19" s="2" t="s">
        <v>33</v>
      </c>
    </row>
    <row r="20" spans="2:3" ht="15.75" thickBot="1" x14ac:dyDescent="0.3">
      <c r="B20" t="s">
        <v>34</v>
      </c>
      <c r="C20" s="2" t="s">
        <v>35</v>
      </c>
    </row>
    <row r="21" spans="2:3" ht="15.75" thickBot="1" x14ac:dyDescent="0.3">
      <c r="B21" s="6" t="s">
        <v>36</v>
      </c>
      <c r="C21" s="2" t="s">
        <v>37</v>
      </c>
    </row>
    <row r="22" spans="2:3" ht="15.75" thickBot="1" x14ac:dyDescent="0.3">
      <c r="B22" s="6" t="s">
        <v>38</v>
      </c>
      <c r="C22" s="2" t="s">
        <v>39</v>
      </c>
    </row>
    <row r="23" spans="2:3" ht="15.75" thickBot="1" x14ac:dyDescent="0.3">
      <c r="B23" t="s">
        <v>40</v>
      </c>
      <c r="C23" s="2" t="s">
        <v>41</v>
      </c>
    </row>
    <row r="24" spans="2:3" ht="15.75" thickBot="1" x14ac:dyDescent="0.3">
      <c r="B24" t="s">
        <v>42</v>
      </c>
      <c r="C24" s="2" t="s">
        <v>43</v>
      </c>
    </row>
    <row r="25" spans="2:3" x14ac:dyDescent="0.25">
      <c r="B25" t="s">
        <v>44</v>
      </c>
      <c r="C25" s="1" t="s">
        <v>45</v>
      </c>
    </row>
    <row r="26" spans="2:3" x14ac:dyDescent="0.25">
      <c r="B26" t="s">
        <v>46</v>
      </c>
      <c r="C26" s="1" t="s">
        <v>47</v>
      </c>
    </row>
    <row r="27" spans="2:3" ht="15.75" thickBot="1" x14ac:dyDescent="0.3">
      <c r="B27" t="s">
        <v>48</v>
      </c>
      <c r="C27" s="2" t="s">
        <v>49</v>
      </c>
    </row>
    <row r="28" spans="2:3" ht="15.75" thickBot="1" x14ac:dyDescent="0.3">
      <c r="B28" t="s">
        <v>50</v>
      </c>
      <c r="C28" s="2" t="s">
        <v>51</v>
      </c>
    </row>
  </sheetData>
  <sortState xmlns:xlrd2="http://schemas.microsoft.com/office/spreadsheetml/2017/richdata2" ref="H2:H15">
    <sortCondition ref="H2:H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7555-71C3-4C79-9FDE-81DC6DBB4612}">
  <dimension ref="A2:G10"/>
  <sheetViews>
    <sheetView workbookViewId="0">
      <selection activeCell="F22" sqref="F22"/>
    </sheetView>
  </sheetViews>
  <sheetFormatPr defaultRowHeight="15" x14ac:dyDescent="0.25"/>
  <cols>
    <col min="1" max="1" width="17.28515625" bestFit="1" customWidth="1"/>
    <col min="2" max="2" width="19.42578125" bestFit="1" customWidth="1"/>
    <col min="3" max="3" width="19.5703125" bestFit="1" customWidth="1"/>
    <col min="4" max="4" width="22.5703125" bestFit="1" customWidth="1"/>
    <col min="5" max="5" width="24.7109375" bestFit="1" customWidth="1"/>
    <col min="6" max="6" width="24" bestFit="1" customWidth="1"/>
    <col min="7" max="7" width="23.140625" bestFit="1" customWidth="1"/>
    <col min="8" max="11" width="20" bestFit="1" customWidth="1"/>
  </cols>
  <sheetData>
    <row r="2" spans="1:7" x14ac:dyDescent="0.25">
      <c r="A2" s="16">
        <v>46321</v>
      </c>
    </row>
    <row r="3" spans="1:7" x14ac:dyDescent="0.25">
      <c r="A3" s="13" t="s">
        <v>111</v>
      </c>
      <c r="B3" t="s">
        <v>113</v>
      </c>
      <c r="C3" t="s">
        <v>120</v>
      </c>
      <c r="D3" t="s">
        <v>121</v>
      </c>
      <c r="E3" t="s">
        <v>122</v>
      </c>
      <c r="F3" t="s">
        <v>123</v>
      </c>
      <c r="G3" t="s">
        <v>124</v>
      </c>
    </row>
    <row r="4" spans="1:7" x14ac:dyDescent="0.25">
      <c r="A4" s="14" t="s">
        <v>114</v>
      </c>
      <c r="B4" s="12">
        <v>1.9999999999999574</v>
      </c>
      <c r="C4" s="12">
        <v>0.40000000000000213</v>
      </c>
      <c r="D4" s="12">
        <v>200</v>
      </c>
      <c r="E4" s="12">
        <v>104</v>
      </c>
      <c r="F4" s="12">
        <v>2</v>
      </c>
      <c r="G4" s="12">
        <v>94</v>
      </c>
    </row>
    <row r="5" spans="1:7" x14ac:dyDescent="0.25">
      <c r="A5" s="14" t="s">
        <v>115</v>
      </c>
      <c r="B5" s="12">
        <v>254.5</v>
      </c>
      <c r="C5" s="12">
        <v>50.900000000000063</v>
      </c>
      <c r="D5" s="12">
        <v>437</v>
      </c>
      <c r="E5" s="12">
        <v>238</v>
      </c>
      <c r="F5" s="12">
        <v>8</v>
      </c>
      <c r="G5" s="12">
        <v>190</v>
      </c>
    </row>
    <row r="6" spans="1:7" x14ac:dyDescent="0.25">
      <c r="A6" s="14" t="s">
        <v>116</v>
      </c>
      <c r="B6" s="12">
        <v>31</v>
      </c>
      <c r="C6" s="12">
        <v>6.2</v>
      </c>
      <c r="D6" s="12">
        <v>27</v>
      </c>
      <c r="E6" s="12">
        <v>18</v>
      </c>
      <c r="F6" s="12">
        <v>0</v>
      </c>
      <c r="G6" s="12">
        <v>9</v>
      </c>
    </row>
    <row r="7" spans="1:7" x14ac:dyDescent="0.25">
      <c r="A7" s="14" t="s">
        <v>117</v>
      </c>
      <c r="B7" s="12">
        <v>11.699999999999974</v>
      </c>
      <c r="C7" s="12">
        <v>2.3399999999999945</v>
      </c>
      <c r="D7" s="12">
        <v>212</v>
      </c>
      <c r="E7" s="12">
        <v>97</v>
      </c>
      <c r="F7" s="12">
        <v>5</v>
      </c>
      <c r="G7" s="12">
        <v>110</v>
      </c>
    </row>
    <row r="8" spans="1:7" x14ac:dyDescent="0.25">
      <c r="A8" s="14" t="s">
        <v>118</v>
      </c>
      <c r="B8" s="12">
        <v>-67.800000000000011</v>
      </c>
      <c r="C8" s="12">
        <v>-13.560000000000002</v>
      </c>
      <c r="D8" s="12">
        <v>61</v>
      </c>
      <c r="E8" s="12">
        <v>24</v>
      </c>
      <c r="F8" s="12">
        <v>0</v>
      </c>
      <c r="G8" s="12">
        <v>37</v>
      </c>
    </row>
    <row r="9" spans="1:7" x14ac:dyDescent="0.25">
      <c r="A9" s="14" t="s">
        <v>119</v>
      </c>
      <c r="B9" s="12">
        <v>20.799999999999983</v>
      </c>
      <c r="C9" s="12">
        <v>4.1600000000000019</v>
      </c>
      <c r="D9" s="12">
        <v>115</v>
      </c>
      <c r="E9" s="12">
        <v>63</v>
      </c>
      <c r="F9" s="12">
        <v>3</v>
      </c>
      <c r="G9" s="12">
        <v>49</v>
      </c>
    </row>
    <row r="10" spans="1:7" x14ac:dyDescent="0.25">
      <c r="A10" s="14" t="s">
        <v>112</v>
      </c>
      <c r="B10" s="12">
        <v>252.1999999999999</v>
      </c>
      <c r="C10" s="12">
        <v>50.440000000000069</v>
      </c>
      <c r="D10" s="12">
        <v>1052</v>
      </c>
      <c r="E10" s="12">
        <v>544</v>
      </c>
      <c r="F10" s="12">
        <v>18</v>
      </c>
      <c r="G10" s="12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A0FD-4A38-4441-810F-67EAE4BA7EB9}">
  <dimension ref="A1:DQ18"/>
  <sheetViews>
    <sheetView workbookViewId="0">
      <pane xSplit="1" topLeftCell="F1" activePane="topRight" state="frozen"/>
      <selection pane="topRight" activeCell="W17" sqref="W17"/>
    </sheetView>
  </sheetViews>
  <sheetFormatPr defaultRowHeight="15" x14ac:dyDescent="0.25"/>
  <cols>
    <col min="2" max="24" width="12.28515625" customWidth="1"/>
  </cols>
  <sheetData>
    <row r="1" spans="1:12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</row>
    <row r="2" spans="1:121" x14ac:dyDescent="0.25">
      <c r="B2" s="16">
        <v>46285</v>
      </c>
      <c r="C2" s="16">
        <v>46286</v>
      </c>
      <c r="D2" s="16">
        <v>46287</v>
      </c>
      <c r="E2" s="16">
        <v>46288</v>
      </c>
      <c r="F2" s="16">
        <v>46290</v>
      </c>
      <c r="G2" s="16">
        <v>46293</v>
      </c>
      <c r="H2" s="16">
        <v>46294</v>
      </c>
      <c r="I2" s="16">
        <v>46295</v>
      </c>
      <c r="J2" s="16">
        <v>46297</v>
      </c>
      <c r="K2" s="16">
        <v>46300</v>
      </c>
      <c r="L2" s="16">
        <v>46301</v>
      </c>
      <c r="M2" s="16">
        <v>46302</v>
      </c>
      <c r="N2" s="16">
        <v>46304</v>
      </c>
      <c r="O2" s="16">
        <v>46307</v>
      </c>
      <c r="P2" s="16">
        <v>46308</v>
      </c>
      <c r="Q2" s="16">
        <v>46309</v>
      </c>
      <c r="R2" s="16">
        <v>46311</v>
      </c>
      <c r="S2" s="16">
        <v>46314</v>
      </c>
      <c r="T2" s="16">
        <v>46315</v>
      </c>
      <c r="U2" s="16">
        <v>46316</v>
      </c>
      <c r="V2" s="16">
        <v>46318</v>
      </c>
      <c r="W2" s="16">
        <v>46321</v>
      </c>
      <c r="X2" s="16"/>
    </row>
    <row r="3" spans="1:121" x14ac:dyDescent="0.25">
      <c r="A3" t="s">
        <v>114</v>
      </c>
      <c r="B3">
        <v>-20.100000000000001</v>
      </c>
      <c r="C3">
        <v>-39.9</v>
      </c>
      <c r="D3">
        <v>-22.1</v>
      </c>
      <c r="E3">
        <v>-0.9</v>
      </c>
      <c r="F3">
        <v>28.400000000000013</v>
      </c>
      <c r="G3">
        <v>41.999999999999993</v>
      </c>
      <c r="H3">
        <v>-17.000000000000021</v>
      </c>
      <c r="I3">
        <v>6.4999999999999858</v>
      </c>
      <c r="J3" s="12">
        <v>11.699999999999982</v>
      </c>
      <c r="K3">
        <v>-20.599999999999994</v>
      </c>
      <c r="L3" s="12">
        <v>-27.200000000000003</v>
      </c>
      <c r="M3">
        <v>-12.000000000000028</v>
      </c>
      <c r="N3">
        <v>2.5</v>
      </c>
      <c r="O3">
        <v>16.199999999999989</v>
      </c>
      <c r="P3">
        <v>32</v>
      </c>
      <c r="Q3">
        <v>18.600000000000009</v>
      </c>
      <c r="R3">
        <v>1.3999999999999773</v>
      </c>
      <c r="S3">
        <v>0.79999999999998295</v>
      </c>
      <c r="T3">
        <v>4.6999999999999602</v>
      </c>
      <c r="U3">
        <v>16.69999999999996</v>
      </c>
      <c r="V3">
        <v>6.1999999999999602</v>
      </c>
      <c r="W3">
        <v>1.9999999999999574</v>
      </c>
    </row>
    <row r="4" spans="1:121" x14ac:dyDescent="0.25">
      <c r="A4" t="s">
        <v>115</v>
      </c>
      <c r="B4">
        <v>19.7</v>
      </c>
      <c r="C4">
        <v>50.7</v>
      </c>
      <c r="D4">
        <v>68.3</v>
      </c>
      <c r="E4">
        <v>83</v>
      </c>
      <c r="F4">
        <v>83.199999999999989</v>
      </c>
      <c r="G4">
        <v>85.699999999999989</v>
      </c>
      <c r="H4">
        <v>70.199999999999989</v>
      </c>
      <c r="I4">
        <v>85.5</v>
      </c>
      <c r="J4" s="12">
        <v>108.70000000000002</v>
      </c>
      <c r="K4">
        <v>112.89999999999998</v>
      </c>
      <c r="L4" s="12">
        <v>109.69999999999996</v>
      </c>
      <c r="M4">
        <v>74.499999999999972</v>
      </c>
      <c r="N4">
        <v>43.700000000000024</v>
      </c>
      <c r="O4">
        <v>180.00000000000006</v>
      </c>
      <c r="P4">
        <v>214.19999999999993</v>
      </c>
      <c r="Q4">
        <v>243.99999999999994</v>
      </c>
      <c r="R4">
        <v>235.49999999999989</v>
      </c>
      <c r="S4">
        <v>168.99999999999994</v>
      </c>
      <c r="T4">
        <v>196.3</v>
      </c>
      <c r="U4">
        <v>282.3</v>
      </c>
      <c r="V4">
        <v>261.2</v>
      </c>
      <c r="W4">
        <v>254.5</v>
      </c>
    </row>
    <row r="5" spans="1:121" x14ac:dyDescent="0.25">
      <c r="A5" t="s">
        <v>116</v>
      </c>
      <c r="B5">
        <v>1.9</v>
      </c>
      <c r="C5">
        <v>9.9</v>
      </c>
      <c r="D5">
        <v>15.9</v>
      </c>
      <c r="E5">
        <v>18.100000000000001</v>
      </c>
      <c r="F5">
        <v>20.299999999999997</v>
      </c>
      <c r="G5">
        <v>28</v>
      </c>
      <c r="H5">
        <v>17.899999999999999</v>
      </c>
      <c r="I5">
        <v>12.699999999999998</v>
      </c>
      <c r="J5" s="12">
        <v>14.799999999999997</v>
      </c>
      <c r="K5">
        <v>14.799999999999997</v>
      </c>
      <c r="L5" s="12">
        <v>14.799999999999997</v>
      </c>
      <c r="M5">
        <v>14.799999999999997</v>
      </c>
      <c r="N5">
        <v>14.799999999999997</v>
      </c>
      <c r="O5">
        <v>16.999999999999996</v>
      </c>
      <c r="P5">
        <v>22.099999999999998</v>
      </c>
      <c r="Q5">
        <v>20</v>
      </c>
      <c r="R5">
        <v>20.2</v>
      </c>
      <c r="S5">
        <v>14.2</v>
      </c>
      <c r="T5">
        <v>13.899999999999999</v>
      </c>
      <c r="U5">
        <v>24.7</v>
      </c>
      <c r="V5">
        <v>26.599999999999998</v>
      </c>
      <c r="W5">
        <v>31</v>
      </c>
    </row>
    <row r="6" spans="1:121" x14ac:dyDescent="0.25">
      <c r="A6" t="s">
        <v>117</v>
      </c>
      <c r="B6">
        <v>-21</v>
      </c>
      <c r="C6">
        <v>-41</v>
      </c>
      <c r="D6">
        <v>-1.4</v>
      </c>
      <c r="E6">
        <v>-1.9</v>
      </c>
      <c r="F6">
        <v>-15.199999999999998</v>
      </c>
      <c r="G6">
        <v>-51.5</v>
      </c>
      <c r="H6">
        <v>-55.599999999999994</v>
      </c>
      <c r="I6">
        <v>-23.799999999999994</v>
      </c>
      <c r="J6" s="12">
        <v>-14.999999999999993</v>
      </c>
      <c r="K6">
        <v>-31.5</v>
      </c>
      <c r="L6" s="12">
        <v>-16.200000000000003</v>
      </c>
      <c r="M6">
        <v>-28.299999999999994</v>
      </c>
      <c r="N6">
        <v>-65.099999999999994</v>
      </c>
      <c r="O6">
        <v>-54.59999999999998</v>
      </c>
      <c r="P6">
        <v>-55.599999999999994</v>
      </c>
      <c r="Q6">
        <v>-75.999999999999972</v>
      </c>
      <c r="R6">
        <v>-69.59999999999998</v>
      </c>
      <c r="S6">
        <v>-72.099999999999994</v>
      </c>
      <c r="T6">
        <v>-62.1</v>
      </c>
      <c r="U6">
        <v>29.500000000000028</v>
      </c>
      <c r="V6">
        <v>10.299999999999972</v>
      </c>
      <c r="W6">
        <v>11.699999999999974</v>
      </c>
    </row>
    <row r="7" spans="1:121" x14ac:dyDescent="0.25">
      <c r="A7" t="s">
        <v>118</v>
      </c>
      <c r="B7">
        <v>-18.100000000000001</v>
      </c>
      <c r="C7">
        <v>-18.100000000000001</v>
      </c>
      <c r="D7">
        <v>-18.100000000000001</v>
      </c>
      <c r="E7">
        <v>-22.7</v>
      </c>
      <c r="F7">
        <v>-22.700000000000003</v>
      </c>
      <c r="G7">
        <v>-37.5</v>
      </c>
      <c r="H7">
        <v>-37.5</v>
      </c>
      <c r="I7">
        <v>-47.1</v>
      </c>
      <c r="J7" s="12">
        <v>-54.800000000000004</v>
      </c>
      <c r="K7">
        <v>-31.200000000000003</v>
      </c>
      <c r="L7" s="12">
        <v>-27.1</v>
      </c>
      <c r="M7">
        <v>-25.800000000000004</v>
      </c>
      <c r="N7">
        <v>-32.600000000000009</v>
      </c>
      <c r="O7">
        <v>-37.400000000000006</v>
      </c>
      <c r="P7">
        <v>-41.100000000000009</v>
      </c>
      <c r="Q7">
        <v>-32.800000000000004</v>
      </c>
      <c r="R7">
        <v>-50.500000000000007</v>
      </c>
      <c r="S7">
        <v>-77</v>
      </c>
      <c r="T7">
        <v>-76.2</v>
      </c>
      <c r="U7">
        <v>-58.900000000000006</v>
      </c>
      <c r="V7">
        <v>-67.800000000000011</v>
      </c>
      <c r="W7">
        <v>-67.800000000000011</v>
      </c>
    </row>
    <row r="8" spans="1:121" x14ac:dyDescent="0.25">
      <c r="A8" t="s">
        <v>119</v>
      </c>
      <c r="B8">
        <v>44.5</v>
      </c>
      <c r="C8">
        <v>44.1</v>
      </c>
      <c r="D8">
        <v>45.1</v>
      </c>
      <c r="E8">
        <v>59.4</v>
      </c>
      <c r="F8">
        <v>62.400000000000006</v>
      </c>
      <c r="G8">
        <v>77.3</v>
      </c>
      <c r="H8">
        <v>74.400000000000006</v>
      </c>
      <c r="I8">
        <v>73</v>
      </c>
      <c r="J8" s="12">
        <v>66.100000000000009</v>
      </c>
      <c r="K8">
        <v>51.6</v>
      </c>
      <c r="L8" s="12">
        <v>63</v>
      </c>
      <c r="M8">
        <v>42</v>
      </c>
      <c r="N8">
        <v>46.5</v>
      </c>
      <c r="O8">
        <v>36.199999999999989</v>
      </c>
      <c r="P8">
        <v>37.499999999999986</v>
      </c>
      <c r="Q8">
        <v>38.899999999999991</v>
      </c>
      <c r="R8">
        <v>38.999999999999986</v>
      </c>
      <c r="S8">
        <v>34.699999999999989</v>
      </c>
      <c r="T8">
        <v>36.199999999999989</v>
      </c>
      <c r="U8">
        <v>35.299999999999983</v>
      </c>
      <c r="V8">
        <v>34.299999999999983</v>
      </c>
      <c r="W8">
        <v>20.799999999999983</v>
      </c>
    </row>
    <row r="9" spans="1:121" x14ac:dyDescent="0.25">
      <c r="A9" t="s">
        <v>137</v>
      </c>
      <c r="B9">
        <v>6.8999999999999915</v>
      </c>
      <c r="C9">
        <v>5.7000000000000028</v>
      </c>
      <c r="D9">
        <v>87.699999999999989</v>
      </c>
      <c r="E9">
        <v>134.99999999999997</v>
      </c>
      <c r="F9">
        <v>156.39999999999998</v>
      </c>
      <c r="G9">
        <v>144</v>
      </c>
      <c r="H9">
        <v>52.399999999999977</v>
      </c>
      <c r="I9">
        <v>106.79999999999998</v>
      </c>
      <c r="J9">
        <v>131.5</v>
      </c>
      <c r="K9">
        <v>95.999999999999972</v>
      </c>
      <c r="L9">
        <v>116.99999999999994</v>
      </c>
      <c r="M9">
        <v>65.199999999999932</v>
      </c>
      <c r="N9">
        <v>9.8000000000000185</v>
      </c>
      <c r="O9">
        <v>157.40000000000006</v>
      </c>
      <c r="P9">
        <v>209.09999999999997</v>
      </c>
      <c r="Q9">
        <v>212.7</v>
      </c>
      <c r="R9">
        <v>175.99999999999989</v>
      </c>
      <c r="S9">
        <v>69.599999999999909</v>
      </c>
      <c r="T9">
        <v>112.79999999999997</v>
      </c>
      <c r="U9">
        <v>329.6</v>
      </c>
      <c r="V9">
        <v>270.79999999999995</v>
      </c>
      <c r="W9">
        <v>252.1999999999999</v>
      </c>
    </row>
    <row r="11" spans="1:121" x14ac:dyDescent="0.25">
      <c r="B11" s="16">
        <f>B2</f>
        <v>46285</v>
      </c>
      <c r="C11" s="16">
        <f t="shared" ref="C11:J11" si="0">C2</f>
        <v>46286</v>
      </c>
      <c r="D11" s="16">
        <f t="shared" si="0"/>
        <v>46287</v>
      </c>
      <c r="E11" s="16">
        <f t="shared" si="0"/>
        <v>46288</v>
      </c>
      <c r="F11" s="16">
        <f t="shared" si="0"/>
        <v>46290</v>
      </c>
      <c r="G11" s="16">
        <f t="shared" si="0"/>
        <v>46293</v>
      </c>
      <c r="H11" s="16">
        <f t="shared" si="0"/>
        <v>46294</v>
      </c>
      <c r="I11" s="16">
        <f t="shared" si="0"/>
        <v>46295</v>
      </c>
      <c r="J11" s="16">
        <f t="shared" si="0"/>
        <v>46297</v>
      </c>
      <c r="K11" s="16">
        <f t="shared" ref="K11:L11" si="1">K2</f>
        <v>46300</v>
      </c>
      <c r="L11" s="16">
        <f t="shared" si="1"/>
        <v>46301</v>
      </c>
      <c r="M11" s="16">
        <f t="shared" ref="M11:N11" si="2">M2</f>
        <v>46302</v>
      </c>
      <c r="N11" s="16">
        <f t="shared" si="2"/>
        <v>46304</v>
      </c>
      <c r="O11" s="16">
        <f t="shared" ref="O11:P11" si="3">O2</f>
        <v>46307</v>
      </c>
      <c r="P11" s="16">
        <f t="shared" si="3"/>
        <v>46308</v>
      </c>
      <c r="Q11" s="16">
        <f t="shared" ref="Q11:R11" si="4">Q2</f>
        <v>46309</v>
      </c>
      <c r="R11" s="16">
        <f t="shared" si="4"/>
        <v>46311</v>
      </c>
      <c r="S11" s="16">
        <f t="shared" ref="S11:T11" si="5">S2</f>
        <v>46314</v>
      </c>
      <c r="T11" s="16">
        <f t="shared" si="5"/>
        <v>46315</v>
      </c>
      <c r="U11" s="16">
        <f t="shared" ref="U11:V11" si="6">U2</f>
        <v>46316</v>
      </c>
      <c r="V11" s="16">
        <f t="shared" si="6"/>
        <v>46318</v>
      </c>
      <c r="W11" s="16">
        <f t="shared" ref="W11" si="7">W2</f>
        <v>46321</v>
      </c>
    </row>
    <row r="12" spans="1:121" x14ac:dyDescent="0.25">
      <c r="A12" t="s">
        <v>114</v>
      </c>
      <c r="B12">
        <f>B3</f>
        <v>-20.100000000000001</v>
      </c>
      <c r="C12">
        <f>C3-B3</f>
        <v>-19.799999999999997</v>
      </c>
      <c r="D12">
        <f t="shared" ref="D12:W12" si="8">D3-C3</f>
        <v>17.799999999999997</v>
      </c>
      <c r="E12">
        <f t="shared" si="8"/>
        <v>21.200000000000003</v>
      </c>
      <c r="F12">
        <f t="shared" si="8"/>
        <v>29.300000000000011</v>
      </c>
      <c r="G12">
        <f t="shared" si="8"/>
        <v>13.59999999999998</v>
      </c>
      <c r="H12">
        <f t="shared" si="8"/>
        <v>-59.000000000000014</v>
      </c>
      <c r="I12">
        <f t="shared" si="8"/>
        <v>23.500000000000007</v>
      </c>
      <c r="J12">
        <f t="shared" si="8"/>
        <v>5.1999999999999957</v>
      </c>
      <c r="K12">
        <f t="shared" si="8"/>
        <v>-32.299999999999976</v>
      </c>
      <c r="L12">
        <f t="shared" si="8"/>
        <v>-6.6000000000000085</v>
      </c>
      <c r="M12">
        <f t="shared" si="8"/>
        <v>15.199999999999974</v>
      </c>
      <c r="N12">
        <f t="shared" si="8"/>
        <v>14.500000000000028</v>
      </c>
      <c r="O12">
        <f t="shared" si="8"/>
        <v>13.699999999999989</v>
      </c>
      <c r="P12">
        <f t="shared" si="8"/>
        <v>15.800000000000011</v>
      </c>
      <c r="Q12">
        <f t="shared" si="8"/>
        <v>-13.399999999999991</v>
      </c>
      <c r="R12">
        <f t="shared" si="8"/>
        <v>-17.200000000000031</v>
      </c>
      <c r="S12">
        <f t="shared" si="8"/>
        <v>-0.59999999999999432</v>
      </c>
      <c r="T12">
        <f t="shared" si="8"/>
        <v>3.8999999999999773</v>
      </c>
      <c r="U12">
        <f t="shared" si="8"/>
        <v>12</v>
      </c>
      <c r="V12">
        <f t="shared" si="8"/>
        <v>-10.5</v>
      </c>
      <c r="W12">
        <f t="shared" si="8"/>
        <v>-4.2000000000000028</v>
      </c>
    </row>
    <row r="13" spans="1:121" x14ac:dyDescent="0.25">
      <c r="A13" t="s">
        <v>115</v>
      </c>
      <c r="B13">
        <f t="shared" ref="B13:B17" si="9">B4</f>
        <v>19.7</v>
      </c>
      <c r="C13">
        <f t="shared" ref="C13:W17" si="10">C4-B4</f>
        <v>31.000000000000004</v>
      </c>
      <c r="D13">
        <f t="shared" si="10"/>
        <v>17.599999999999994</v>
      </c>
      <c r="E13">
        <f t="shared" si="10"/>
        <v>14.700000000000003</v>
      </c>
      <c r="F13">
        <f t="shared" si="10"/>
        <v>0.19999999999998863</v>
      </c>
      <c r="G13">
        <f t="shared" si="10"/>
        <v>2.5</v>
      </c>
      <c r="H13">
        <f t="shared" si="10"/>
        <v>-15.5</v>
      </c>
      <c r="I13">
        <f t="shared" si="10"/>
        <v>15.300000000000011</v>
      </c>
      <c r="J13">
        <f t="shared" si="10"/>
        <v>23.200000000000017</v>
      </c>
      <c r="K13">
        <f t="shared" si="10"/>
        <v>4.1999999999999602</v>
      </c>
      <c r="L13">
        <f t="shared" si="10"/>
        <v>-3.2000000000000171</v>
      </c>
      <c r="M13">
        <f t="shared" si="10"/>
        <v>-35.199999999999989</v>
      </c>
      <c r="N13">
        <f t="shared" si="10"/>
        <v>-30.799999999999947</v>
      </c>
      <c r="O13">
        <f t="shared" si="10"/>
        <v>136.30000000000004</v>
      </c>
      <c r="P13">
        <f t="shared" si="10"/>
        <v>34.199999999999875</v>
      </c>
      <c r="Q13">
        <f t="shared" si="10"/>
        <v>29.800000000000011</v>
      </c>
      <c r="R13">
        <f t="shared" si="10"/>
        <v>-8.5000000000000568</v>
      </c>
      <c r="S13">
        <f t="shared" si="10"/>
        <v>-66.499999999999943</v>
      </c>
      <c r="T13">
        <f t="shared" si="10"/>
        <v>27.300000000000068</v>
      </c>
      <c r="U13">
        <f t="shared" si="10"/>
        <v>86</v>
      </c>
      <c r="V13">
        <f t="shared" si="10"/>
        <v>-21.100000000000023</v>
      </c>
      <c r="W13">
        <f t="shared" si="10"/>
        <v>-6.6999999999999886</v>
      </c>
    </row>
    <row r="14" spans="1:121" x14ac:dyDescent="0.25">
      <c r="A14" t="s">
        <v>116</v>
      </c>
      <c r="B14">
        <f t="shared" si="9"/>
        <v>1.9</v>
      </c>
      <c r="C14">
        <f t="shared" si="10"/>
        <v>8</v>
      </c>
      <c r="D14">
        <f t="shared" si="10"/>
        <v>6</v>
      </c>
      <c r="E14">
        <f t="shared" si="10"/>
        <v>2.2000000000000011</v>
      </c>
      <c r="F14">
        <f t="shared" si="10"/>
        <v>2.1999999999999957</v>
      </c>
      <c r="G14">
        <f t="shared" si="10"/>
        <v>7.7000000000000028</v>
      </c>
      <c r="H14">
        <f t="shared" si="10"/>
        <v>-10.100000000000001</v>
      </c>
      <c r="I14">
        <f t="shared" si="10"/>
        <v>-5.2000000000000011</v>
      </c>
      <c r="J14">
        <f t="shared" si="10"/>
        <v>2.0999999999999996</v>
      </c>
      <c r="K14">
        <f t="shared" si="10"/>
        <v>0</v>
      </c>
      <c r="L14">
        <f t="shared" si="10"/>
        <v>0</v>
      </c>
      <c r="M14">
        <f t="shared" si="10"/>
        <v>0</v>
      </c>
      <c r="N14">
        <f t="shared" si="10"/>
        <v>0</v>
      </c>
      <c r="O14">
        <f t="shared" si="10"/>
        <v>2.1999999999999993</v>
      </c>
      <c r="P14">
        <f t="shared" si="10"/>
        <v>5.1000000000000014</v>
      </c>
      <c r="Q14">
        <f t="shared" si="10"/>
        <v>-2.0999999999999979</v>
      </c>
      <c r="R14">
        <f t="shared" si="10"/>
        <v>0.19999999999999929</v>
      </c>
      <c r="S14">
        <f t="shared" si="10"/>
        <v>-6</v>
      </c>
      <c r="T14">
        <f t="shared" si="10"/>
        <v>-0.30000000000000071</v>
      </c>
      <c r="U14">
        <f t="shared" si="10"/>
        <v>10.8</v>
      </c>
      <c r="V14">
        <f t="shared" si="10"/>
        <v>1.8999999999999986</v>
      </c>
      <c r="W14">
        <f t="shared" si="10"/>
        <v>4.4000000000000021</v>
      </c>
    </row>
    <row r="15" spans="1:121" x14ac:dyDescent="0.25">
      <c r="A15" t="s">
        <v>117</v>
      </c>
      <c r="B15">
        <f t="shared" si="9"/>
        <v>-21</v>
      </c>
      <c r="C15">
        <f t="shared" si="10"/>
        <v>-20</v>
      </c>
      <c r="D15">
        <f t="shared" si="10"/>
        <v>39.6</v>
      </c>
      <c r="E15">
        <f t="shared" si="10"/>
        <v>-0.5</v>
      </c>
      <c r="F15">
        <f t="shared" si="10"/>
        <v>-13.299999999999997</v>
      </c>
      <c r="G15">
        <f t="shared" si="10"/>
        <v>-36.300000000000004</v>
      </c>
      <c r="H15">
        <f t="shared" si="10"/>
        <v>-4.0999999999999943</v>
      </c>
      <c r="I15">
        <f t="shared" si="10"/>
        <v>31.8</v>
      </c>
      <c r="J15">
        <f t="shared" si="10"/>
        <v>8.8000000000000007</v>
      </c>
      <c r="K15">
        <f t="shared" si="10"/>
        <v>-16.500000000000007</v>
      </c>
      <c r="L15">
        <f t="shared" si="10"/>
        <v>15.299999999999997</v>
      </c>
      <c r="M15">
        <f t="shared" si="10"/>
        <v>-12.099999999999991</v>
      </c>
      <c r="N15">
        <f t="shared" si="10"/>
        <v>-36.799999999999997</v>
      </c>
      <c r="O15">
        <f t="shared" si="10"/>
        <v>10.500000000000014</v>
      </c>
      <c r="P15">
        <f t="shared" si="10"/>
        <v>-1.0000000000000142</v>
      </c>
      <c r="Q15">
        <f t="shared" si="10"/>
        <v>-20.399999999999977</v>
      </c>
      <c r="R15">
        <f t="shared" si="10"/>
        <v>6.3999999999999915</v>
      </c>
      <c r="S15">
        <f t="shared" si="10"/>
        <v>-2.5000000000000142</v>
      </c>
      <c r="T15">
        <f t="shared" si="10"/>
        <v>9.9999999999999929</v>
      </c>
      <c r="U15">
        <f t="shared" si="10"/>
        <v>91.600000000000023</v>
      </c>
      <c r="V15">
        <f t="shared" si="10"/>
        <v>-19.200000000000056</v>
      </c>
      <c r="W15">
        <f t="shared" si="10"/>
        <v>1.4000000000000021</v>
      </c>
    </row>
    <row r="16" spans="1:121" x14ac:dyDescent="0.25">
      <c r="A16" t="s">
        <v>118</v>
      </c>
      <c r="B16">
        <f t="shared" si="9"/>
        <v>-18.100000000000001</v>
      </c>
      <c r="C16">
        <f t="shared" si="10"/>
        <v>0</v>
      </c>
      <c r="D16">
        <f t="shared" si="10"/>
        <v>0</v>
      </c>
      <c r="E16">
        <f t="shared" si="10"/>
        <v>-4.5999999999999979</v>
      </c>
      <c r="F16">
        <f t="shared" si="10"/>
        <v>0</v>
      </c>
      <c r="G16">
        <f t="shared" si="10"/>
        <v>-14.799999999999997</v>
      </c>
      <c r="H16">
        <f t="shared" si="10"/>
        <v>0</v>
      </c>
      <c r="I16">
        <f t="shared" si="10"/>
        <v>-9.6000000000000014</v>
      </c>
      <c r="J16">
        <f t="shared" si="10"/>
        <v>-7.7000000000000028</v>
      </c>
      <c r="K16">
        <f t="shared" si="10"/>
        <v>23.6</v>
      </c>
      <c r="L16">
        <f t="shared" si="10"/>
        <v>4.1000000000000014</v>
      </c>
      <c r="M16">
        <f t="shared" si="10"/>
        <v>1.2999999999999972</v>
      </c>
      <c r="N16">
        <f t="shared" si="10"/>
        <v>-6.8000000000000043</v>
      </c>
      <c r="O16">
        <f t="shared" si="10"/>
        <v>-4.7999999999999972</v>
      </c>
      <c r="P16">
        <f t="shared" si="10"/>
        <v>-3.7000000000000028</v>
      </c>
      <c r="Q16">
        <f t="shared" si="10"/>
        <v>8.3000000000000043</v>
      </c>
      <c r="R16">
        <f t="shared" si="10"/>
        <v>-17.700000000000003</v>
      </c>
      <c r="S16">
        <f t="shared" si="10"/>
        <v>-26.499999999999993</v>
      </c>
      <c r="T16">
        <f t="shared" si="10"/>
        <v>0.79999999999999716</v>
      </c>
      <c r="U16">
        <f t="shared" si="10"/>
        <v>17.299999999999997</v>
      </c>
      <c r="V16">
        <f t="shared" si="10"/>
        <v>-8.9000000000000057</v>
      </c>
      <c r="W16">
        <f t="shared" si="10"/>
        <v>0</v>
      </c>
    </row>
    <row r="17" spans="1:23" x14ac:dyDescent="0.25">
      <c r="A17" t="s">
        <v>119</v>
      </c>
      <c r="B17">
        <f t="shared" si="9"/>
        <v>44.5</v>
      </c>
      <c r="C17">
        <f t="shared" si="10"/>
        <v>-0.39999999999999858</v>
      </c>
      <c r="D17">
        <f t="shared" si="10"/>
        <v>1</v>
      </c>
      <c r="E17">
        <f t="shared" si="10"/>
        <v>14.299999999999997</v>
      </c>
      <c r="F17">
        <f t="shared" si="10"/>
        <v>3.0000000000000071</v>
      </c>
      <c r="G17">
        <f t="shared" si="10"/>
        <v>14.899999999999991</v>
      </c>
      <c r="H17">
        <f t="shared" si="10"/>
        <v>-2.8999999999999915</v>
      </c>
      <c r="I17">
        <f t="shared" si="10"/>
        <v>-1.4000000000000057</v>
      </c>
      <c r="J17">
        <f t="shared" si="10"/>
        <v>-6.8999999999999915</v>
      </c>
      <c r="K17">
        <f t="shared" si="10"/>
        <v>-14.500000000000007</v>
      </c>
      <c r="L17">
        <f t="shared" si="10"/>
        <v>11.399999999999999</v>
      </c>
      <c r="M17">
        <f t="shared" si="10"/>
        <v>-21</v>
      </c>
      <c r="N17">
        <f t="shared" si="10"/>
        <v>4.5</v>
      </c>
      <c r="O17">
        <f t="shared" si="10"/>
        <v>-10.300000000000011</v>
      </c>
      <c r="P17">
        <f t="shared" si="10"/>
        <v>1.2999999999999972</v>
      </c>
      <c r="Q17">
        <f t="shared" si="10"/>
        <v>1.4000000000000057</v>
      </c>
      <c r="R17">
        <f t="shared" si="10"/>
        <v>9.9999999999994316E-2</v>
      </c>
      <c r="S17">
        <f t="shared" si="10"/>
        <v>-4.2999999999999972</v>
      </c>
      <c r="T17">
        <f t="shared" si="10"/>
        <v>1.5</v>
      </c>
      <c r="U17">
        <f t="shared" si="10"/>
        <v>-0.90000000000000568</v>
      </c>
      <c r="V17">
        <f t="shared" si="10"/>
        <v>-1</v>
      </c>
      <c r="W17">
        <f t="shared" si="10"/>
        <v>-13.5</v>
      </c>
    </row>
    <row r="18" spans="1:23" x14ac:dyDescent="0.25">
      <c r="A18" t="s">
        <v>137</v>
      </c>
      <c r="B18">
        <f>SUM(B12:B17)</f>
        <v>6.8999999999999915</v>
      </c>
      <c r="C18">
        <f t="shared" ref="C18" si="11">SUM(C12:C17)</f>
        <v>-1.1999999999999922</v>
      </c>
      <c r="D18">
        <f t="shared" ref="D18" si="12">SUM(D12:D17)</f>
        <v>82</v>
      </c>
      <c r="E18">
        <f t="shared" ref="E18" si="13">SUM(E12:E17)</f>
        <v>47.300000000000011</v>
      </c>
      <c r="F18">
        <f t="shared" ref="F18" si="14">SUM(F12:F17)</f>
        <v>21.400000000000006</v>
      </c>
      <c r="G18">
        <f t="shared" ref="G18" si="15">SUM(G12:G17)</f>
        <v>-12.400000000000027</v>
      </c>
      <c r="H18">
        <f t="shared" ref="H18" si="16">SUM(H12:H17)</f>
        <v>-91.600000000000009</v>
      </c>
      <c r="I18">
        <f t="shared" ref="I18:J18" si="17">SUM(I12:I17)</f>
        <v>54.400000000000013</v>
      </c>
      <c r="J18">
        <f t="shared" si="17"/>
        <v>24.700000000000017</v>
      </c>
      <c r="K18">
        <f t="shared" ref="K18:L18" si="18">SUM(K12:K17)</f>
        <v>-35.500000000000028</v>
      </c>
      <c r="L18">
        <f t="shared" si="18"/>
        <v>20.999999999999972</v>
      </c>
      <c r="M18">
        <f t="shared" ref="M18:N18" si="19">SUM(M12:M17)</f>
        <v>-51.800000000000011</v>
      </c>
      <c r="N18">
        <f t="shared" si="19"/>
        <v>-55.39999999999992</v>
      </c>
      <c r="O18">
        <f t="shared" ref="O18:P18" si="20">SUM(O12:O17)</f>
        <v>147.60000000000002</v>
      </c>
      <c r="P18">
        <f t="shared" si="20"/>
        <v>51.699999999999868</v>
      </c>
      <c r="Q18">
        <f t="shared" ref="Q18:R18" si="21">SUM(Q12:Q17)</f>
        <v>3.6000000000000547</v>
      </c>
      <c r="R18">
        <f t="shared" si="21"/>
        <v>-36.700000000000102</v>
      </c>
      <c r="S18">
        <f t="shared" ref="S18:T18" si="22">SUM(S12:S17)</f>
        <v>-106.39999999999993</v>
      </c>
      <c r="T18">
        <f t="shared" si="22"/>
        <v>43.200000000000031</v>
      </c>
      <c r="U18">
        <f t="shared" ref="U18:V18" si="23">SUM(U12:U17)</f>
        <v>216.80000000000004</v>
      </c>
      <c r="V18">
        <f t="shared" si="23"/>
        <v>-58.800000000000082</v>
      </c>
      <c r="W18">
        <f t="shared" ref="W18" si="24">SUM(W12:W17)</f>
        <v>-18.599999999999987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FDFC-F0D8-484F-BD9F-73CE26658A10}">
  <dimension ref="A1:AB79"/>
  <sheetViews>
    <sheetView tabSelected="1" workbookViewId="0">
      <selection activeCell="X16" sqref="X16"/>
    </sheetView>
  </sheetViews>
  <sheetFormatPr defaultRowHeight="15" x14ac:dyDescent="0.25"/>
  <cols>
    <col min="1" max="1" width="9.140625" customWidth="1"/>
    <col min="2" max="2" width="21.28515625" customWidth="1"/>
    <col min="13" max="14" width="4.85546875" customWidth="1"/>
    <col min="15" max="15" width="4.5703125" customWidth="1"/>
    <col min="22" max="22" width="6" customWidth="1"/>
  </cols>
  <sheetData>
    <row r="1" spans="1:28" x14ac:dyDescent="0.25">
      <c r="A1" t="s">
        <v>110</v>
      </c>
      <c r="B1" t="s">
        <v>109</v>
      </c>
      <c r="C1" s="3" t="s">
        <v>98</v>
      </c>
      <c r="D1" s="3" t="s">
        <v>99</v>
      </c>
      <c r="E1" s="3" t="s">
        <v>75</v>
      </c>
      <c r="F1" s="3" t="s">
        <v>76</v>
      </c>
      <c r="G1" s="3" t="s">
        <v>100</v>
      </c>
      <c r="H1" s="3" t="s">
        <v>77</v>
      </c>
      <c r="I1" s="3" t="s">
        <v>101</v>
      </c>
      <c r="J1" s="3" t="s">
        <v>105</v>
      </c>
      <c r="K1" s="3" t="s">
        <v>106</v>
      </c>
      <c r="L1" s="3" t="s">
        <v>108</v>
      </c>
      <c r="M1" s="3"/>
      <c r="N1" s="3"/>
      <c r="O1" s="5" t="s">
        <v>107</v>
      </c>
      <c r="P1" s="5" t="s">
        <v>98</v>
      </c>
      <c r="Q1" s="5" t="s">
        <v>99</v>
      </c>
      <c r="R1" s="5" t="s">
        <v>75</v>
      </c>
      <c r="S1" s="5" t="s">
        <v>76</v>
      </c>
      <c r="T1" s="5" t="s">
        <v>100</v>
      </c>
      <c r="U1" s="5" t="s">
        <v>77</v>
      </c>
      <c r="V1" s="4" t="s">
        <v>104</v>
      </c>
      <c r="W1" s="4" t="s">
        <v>98</v>
      </c>
      <c r="X1" s="4" t="s">
        <v>99</v>
      </c>
      <c r="Y1" s="4" t="s">
        <v>75</v>
      </c>
      <c r="Z1" s="4" t="s">
        <v>76</v>
      </c>
      <c r="AA1" s="4" t="s">
        <v>100</v>
      </c>
      <c r="AB1" s="4" t="s">
        <v>77</v>
      </c>
    </row>
    <row r="2" spans="1:28" x14ac:dyDescent="0.25">
      <c r="A2">
        <v>1</v>
      </c>
      <c r="B2" t="s">
        <v>63</v>
      </c>
      <c r="C2">
        <v>159.10000000000002</v>
      </c>
      <c r="D2">
        <v>31.820000000000007</v>
      </c>
      <c r="E2">
        <v>126</v>
      </c>
      <c r="F2">
        <v>73</v>
      </c>
      <c r="G2">
        <v>1</v>
      </c>
      <c r="H2">
        <v>51</v>
      </c>
      <c r="I2" s="7">
        <f>IFERROR((F2/E2)*100,0)</f>
        <v>57.936507936507944</v>
      </c>
      <c r="J2" s="10">
        <f>IFERROR(C2/E2,0)</f>
        <v>1.2626984126984129</v>
      </c>
      <c r="K2" s="10">
        <f>IFERROR(D2/E2,0)</f>
        <v>0.25253968253968262</v>
      </c>
      <c r="L2" s="10" t="str">
        <f>LEFT(B2,3)</f>
        <v>PEG</v>
      </c>
      <c r="M2">
        <v>1</v>
      </c>
      <c r="N2" s="7">
        <f>M2-A2</f>
        <v>0</v>
      </c>
      <c r="P2">
        <f t="shared" ref="P2:U2" si="0">C2+W2</f>
        <v>159.10000000000002</v>
      </c>
      <c r="Q2">
        <f t="shared" si="0"/>
        <v>31.820000000000007</v>
      </c>
      <c r="R2">
        <f t="shared" si="0"/>
        <v>126</v>
      </c>
      <c r="S2">
        <f t="shared" si="0"/>
        <v>73</v>
      </c>
      <c r="T2">
        <f t="shared" si="0"/>
        <v>1</v>
      </c>
      <c r="U2">
        <f t="shared" si="0"/>
        <v>51</v>
      </c>
    </row>
    <row r="3" spans="1:28" x14ac:dyDescent="0.25">
      <c r="A3">
        <v>2</v>
      </c>
      <c r="B3" s="8" t="s">
        <v>153</v>
      </c>
      <c r="C3">
        <v>63.599999999999994</v>
      </c>
      <c r="D3">
        <v>12.72</v>
      </c>
      <c r="E3">
        <v>23</v>
      </c>
      <c r="F3">
        <v>17</v>
      </c>
      <c r="G3">
        <v>0</v>
      </c>
      <c r="H3">
        <v>6</v>
      </c>
      <c r="I3" s="7">
        <f>IFERROR((F3/E3)*100,0)</f>
        <v>73.91304347826086</v>
      </c>
      <c r="J3" s="10">
        <f>IFERROR(C3/E3,0)</f>
        <v>2.7652173913043474</v>
      </c>
      <c r="K3" s="10">
        <f>IFERROR(D3/E3,0)</f>
        <v>0.55304347826086964</v>
      </c>
      <c r="L3" s="10" t="str">
        <f>LEFT(B3,3)</f>
        <v>UEG</v>
      </c>
      <c r="M3">
        <v>2</v>
      </c>
      <c r="N3" s="7">
        <f>M3-A3</f>
        <v>0</v>
      </c>
      <c r="P3">
        <f t="shared" ref="P3:P53" si="1">C3+W3</f>
        <v>63.599999999999994</v>
      </c>
      <c r="Q3">
        <f t="shared" ref="Q3:Q17" si="2">D3+X3</f>
        <v>12.72</v>
      </c>
      <c r="R3">
        <f t="shared" ref="R3:R17" si="3">E3+Y3</f>
        <v>23</v>
      </c>
      <c r="S3">
        <f t="shared" ref="S3:S17" si="4">F3+Z3</f>
        <v>17</v>
      </c>
      <c r="T3">
        <f t="shared" ref="T3:T17" si="5">G3+AA3</f>
        <v>0</v>
      </c>
      <c r="U3">
        <f t="shared" ref="U3:U17" si="6">H3+AB3</f>
        <v>6</v>
      </c>
    </row>
    <row r="4" spans="1:28" x14ac:dyDescent="0.25">
      <c r="A4">
        <v>3</v>
      </c>
      <c r="B4" s="6" t="s">
        <v>148</v>
      </c>
      <c r="C4">
        <v>59.1</v>
      </c>
      <c r="D4">
        <v>11.820000000000004</v>
      </c>
      <c r="E4">
        <v>27</v>
      </c>
      <c r="F4">
        <v>18</v>
      </c>
      <c r="G4">
        <v>0</v>
      </c>
      <c r="H4">
        <v>9</v>
      </c>
      <c r="I4" s="7">
        <f>IFERROR((F4/E4)*100,0)</f>
        <v>66.666666666666657</v>
      </c>
      <c r="J4" s="10">
        <f>IFERROR(C4/E4,0)</f>
        <v>2.1888888888888891</v>
      </c>
      <c r="K4" s="10">
        <f>IFERROR(D4/E4,0)</f>
        <v>0.43777777777777793</v>
      </c>
      <c r="L4" s="10" t="str">
        <f>LEFT(B4,3)</f>
        <v>PEG</v>
      </c>
      <c r="M4">
        <v>4</v>
      </c>
      <c r="N4" s="7">
        <f>M4-A4</f>
        <v>1</v>
      </c>
      <c r="P4">
        <f t="shared" si="1"/>
        <v>59.1</v>
      </c>
      <c r="Q4">
        <f t="shared" si="2"/>
        <v>11.820000000000004</v>
      </c>
      <c r="R4">
        <f t="shared" si="3"/>
        <v>27</v>
      </c>
      <c r="S4">
        <f t="shared" si="4"/>
        <v>18</v>
      </c>
      <c r="T4">
        <f t="shared" si="5"/>
        <v>0</v>
      </c>
      <c r="U4">
        <f t="shared" si="6"/>
        <v>9</v>
      </c>
    </row>
    <row r="5" spans="1:28" x14ac:dyDescent="0.25">
      <c r="A5">
        <v>4</v>
      </c>
      <c r="B5" t="s">
        <v>60</v>
      </c>
      <c r="C5">
        <v>56.399999999999977</v>
      </c>
      <c r="D5">
        <v>11.280000000000001</v>
      </c>
      <c r="E5">
        <v>38</v>
      </c>
      <c r="F5">
        <v>25</v>
      </c>
      <c r="G5">
        <v>0</v>
      </c>
      <c r="H5">
        <v>13</v>
      </c>
      <c r="I5" s="7">
        <f>IFERROR((F5/E5)*100,0)</f>
        <v>65.789473684210535</v>
      </c>
      <c r="J5" s="10">
        <f>IFERROR(C5/E5,0)</f>
        <v>1.484210526315789</v>
      </c>
      <c r="K5" s="10">
        <f>IFERROR(D5/E5,0)</f>
        <v>0.29684210526315791</v>
      </c>
      <c r="L5" s="10" t="str">
        <f>LEFT(B5,3)</f>
        <v>LEG</v>
      </c>
      <c r="M5">
        <v>3</v>
      </c>
      <c r="N5" s="7">
        <f>M5-A5</f>
        <v>-1</v>
      </c>
      <c r="P5">
        <f t="shared" si="1"/>
        <v>56.399999999999977</v>
      </c>
      <c r="Q5">
        <f t="shared" si="2"/>
        <v>11.280000000000001</v>
      </c>
      <c r="R5">
        <f t="shared" si="3"/>
        <v>38</v>
      </c>
      <c r="S5">
        <f t="shared" si="4"/>
        <v>25</v>
      </c>
      <c r="T5">
        <f t="shared" si="5"/>
        <v>0</v>
      </c>
      <c r="U5">
        <f t="shared" si="6"/>
        <v>13</v>
      </c>
    </row>
    <row r="6" spans="1:28" x14ac:dyDescent="0.25">
      <c r="A6">
        <v>5</v>
      </c>
      <c r="B6" s="8" t="s">
        <v>138</v>
      </c>
      <c r="C6">
        <v>54.699999999999989</v>
      </c>
      <c r="D6">
        <v>10.940000000000001</v>
      </c>
      <c r="E6">
        <v>27</v>
      </c>
      <c r="F6">
        <v>18</v>
      </c>
      <c r="G6">
        <v>0</v>
      </c>
      <c r="H6">
        <v>9</v>
      </c>
      <c r="I6" s="7">
        <f>IFERROR((F6/E6)*100,0)</f>
        <v>66.666666666666657</v>
      </c>
      <c r="J6" s="10">
        <f>IFERROR(C6/E6,0)</f>
        <v>2.0259259259259257</v>
      </c>
      <c r="K6" s="10">
        <f>IFERROR(D6/E6,0)</f>
        <v>0.40518518518518526</v>
      </c>
      <c r="L6" s="10" t="str">
        <f>LEFT(B6,3)</f>
        <v>PEG</v>
      </c>
      <c r="M6">
        <v>5</v>
      </c>
      <c r="N6" s="7">
        <f>M6-A6</f>
        <v>0</v>
      </c>
      <c r="P6">
        <f t="shared" si="1"/>
        <v>54.699999999999989</v>
      </c>
      <c r="Q6">
        <f t="shared" si="2"/>
        <v>10.940000000000001</v>
      </c>
      <c r="R6">
        <f t="shared" si="3"/>
        <v>27</v>
      </c>
      <c r="S6">
        <f t="shared" si="4"/>
        <v>18</v>
      </c>
      <c r="T6">
        <f t="shared" si="5"/>
        <v>0</v>
      </c>
      <c r="U6">
        <f t="shared" si="6"/>
        <v>9</v>
      </c>
    </row>
    <row r="7" spans="1:28" x14ac:dyDescent="0.25">
      <c r="A7">
        <v>6</v>
      </c>
      <c r="B7" s="6" t="s">
        <v>149</v>
      </c>
      <c r="C7">
        <v>35.100000000000009</v>
      </c>
      <c r="D7">
        <v>7.0200000000000014</v>
      </c>
      <c r="E7">
        <v>20</v>
      </c>
      <c r="F7">
        <v>13</v>
      </c>
      <c r="G7">
        <v>0</v>
      </c>
      <c r="H7">
        <v>7</v>
      </c>
      <c r="I7" s="7">
        <f>IFERROR((F7/E7)*100,0)</f>
        <v>65</v>
      </c>
      <c r="J7" s="10">
        <f>IFERROR(C7/E7,0)</f>
        <v>1.7550000000000003</v>
      </c>
      <c r="K7" s="10">
        <f>IFERROR(D7/E7,0)</f>
        <v>0.35100000000000009</v>
      </c>
      <c r="L7" s="10" t="str">
        <f>LEFT(B7,3)</f>
        <v>PEG</v>
      </c>
      <c r="M7">
        <v>6</v>
      </c>
      <c r="N7" s="7">
        <f>M7-A7</f>
        <v>0</v>
      </c>
      <c r="P7">
        <f t="shared" si="1"/>
        <v>35.100000000000009</v>
      </c>
      <c r="Q7">
        <f t="shared" si="2"/>
        <v>7.0200000000000014</v>
      </c>
      <c r="R7">
        <f t="shared" si="3"/>
        <v>20</v>
      </c>
      <c r="S7">
        <f t="shared" si="4"/>
        <v>13</v>
      </c>
      <c r="T7">
        <f t="shared" si="5"/>
        <v>0</v>
      </c>
      <c r="U7">
        <f t="shared" si="6"/>
        <v>7</v>
      </c>
    </row>
    <row r="8" spans="1:28" x14ac:dyDescent="0.25">
      <c r="A8">
        <v>7</v>
      </c>
      <c r="B8" t="s">
        <v>59</v>
      </c>
      <c r="C8">
        <v>35.1</v>
      </c>
      <c r="D8">
        <v>7.0200000000000031</v>
      </c>
      <c r="E8">
        <v>17</v>
      </c>
      <c r="F8">
        <v>8</v>
      </c>
      <c r="G8">
        <v>0</v>
      </c>
      <c r="H8">
        <v>9</v>
      </c>
      <c r="I8" s="7">
        <f>IFERROR((F8/E8)*100,0)</f>
        <v>47.058823529411761</v>
      </c>
      <c r="J8" s="10">
        <f>IFERROR(C8/E8,0)</f>
        <v>2.0647058823529414</v>
      </c>
      <c r="K8" s="10">
        <f>IFERROR(D8/E8,0)</f>
        <v>0.41294117647058842</v>
      </c>
      <c r="L8" s="10" t="str">
        <f>LEFT(B8,3)</f>
        <v>PEG</v>
      </c>
      <c r="M8">
        <v>7</v>
      </c>
      <c r="N8" s="7">
        <f>M8-A8</f>
        <v>0</v>
      </c>
      <c r="P8">
        <f t="shared" si="1"/>
        <v>35.1</v>
      </c>
      <c r="Q8">
        <f t="shared" si="2"/>
        <v>7.0200000000000031</v>
      </c>
      <c r="R8">
        <f t="shared" si="3"/>
        <v>17</v>
      </c>
      <c r="S8">
        <f t="shared" si="4"/>
        <v>8</v>
      </c>
      <c r="T8">
        <f t="shared" si="5"/>
        <v>0</v>
      </c>
      <c r="U8">
        <f t="shared" si="6"/>
        <v>9</v>
      </c>
    </row>
    <row r="9" spans="1:28" x14ac:dyDescent="0.25">
      <c r="A9">
        <v>8</v>
      </c>
      <c r="B9" t="s">
        <v>89</v>
      </c>
      <c r="C9">
        <v>34.5</v>
      </c>
      <c r="D9">
        <v>6.9</v>
      </c>
      <c r="E9">
        <v>18</v>
      </c>
      <c r="F9">
        <v>13</v>
      </c>
      <c r="G9">
        <v>0</v>
      </c>
      <c r="H9">
        <v>5</v>
      </c>
      <c r="I9" s="7">
        <f>IFERROR((F9/E9)*100,0)</f>
        <v>72.222222222222214</v>
      </c>
      <c r="J9" s="10">
        <f>IFERROR(C9/E9,0)</f>
        <v>1.9166666666666667</v>
      </c>
      <c r="K9" s="10">
        <f>IFERROR(D9/E9,0)</f>
        <v>0.38333333333333336</v>
      </c>
      <c r="L9" s="10" t="str">
        <f>LEFT(B9,3)</f>
        <v>SEG</v>
      </c>
      <c r="M9">
        <v>8</v>
      </c>
      <c r="N9" s="7">
        <f>M9-A9</f>
        <v>0</v>
      </c>
      <c r="P9">
        <f t="shared" si="1"/>
        <v>34.5</v>
      </c>
      <c r="Q9">
        <f t="shared" si="2"/>
        <v>6.9</v>
      </c>
      <c r="R9">
        <f t="shared" si="3"/>
        <v>18</v>
      </c>
      <c r="S9">
        <f t="shared" si="4"/>
        <v>13</v>
      </c>
      <c r="T9">
        <f t="shared" si="5"/>
        <v>0</v>
      </c>
      <c r="U9">
        <f t="shared" si="6"/>
        <v>5</v>
      </c>
    </row>
    <row r="10" spans="1:28" x14ac:dyDescent="0.25">
      <c r="A10">
        <v>9</v>
      </c>
      <c r="B10" s="8" t="s">
        <v>130</v>
      </c>
      <c r="C10">
        <v>30.300000000000004</v>
      </c>
      <c r="D10">
        <v>6.0600000000000005</v>
      </c>
      <c r="E10">
        <v>24</v>
      </c>
      <c r="F10">
        <v>14</v>
      </c>
      <c r="G10">
        <v>0</v>
      </c>
      <c r="H10">
        <v>10</v>
      </c>
      <c r="I10" s="7">
        <f>IFERROR((F10/E10)*100,0)</f>
        <v>58.333333333333336</v>
      </c>
      <c r="J10" s="10">
        <f>IFERROR(C10/E10,0)</f>
        <v>1.2625000000000002</v>
      </c>
      <c r="K10" s="10">
        <f>IFERROR(D10/E10,0)</f>
        <v>0.2525</v>
      </c>
      <c r="L10" s="10" t="str">
        <f>LEFT(B10,3)</f>
        <v>UEG</v>
      </c>
      <c r="M10">
        <v>11</v>
      </c>
      <c r="N10" s="7">
        <f>M10-A10</f>
        <v>2</v>
      </c>
      <c r="P10">
        <f t="shared" si="1"/>
        <v>30.300000000000004</v>
      </c>
      <c r="Q10">
        <f t="shared" si="2"/>
        <v>6.0600000000000005</v>
      </c>
      <c r="R10">
        <f t="shared" si="3"/>
        <v>24</v>
      </c>
      <c r="S10">
        <f t="shared" si="4"/>
        <v>14</v>
      </c>
      <c r="T10">
        <f t="shared" si="5"/>
        <v>0</v>
      </c>
      <c r="U10">
        <f t="shared" si="6"/>
        <v>10</v>
      </c>
    </row>
    <row r="11" spans="1:28" x14ac:dyDescent="0.25">
      <c r="A11">
        <v>10</v>
      </c>
      <c r="B11" s="4" t="s">
        <v>66</v>
      </c>
      <c r="C11">
        <v>29.900000000000006</v>
      </c>
      <c r="D11">
        <v>5.9800000000000013</v>
      </c>
      <c r="E11">
        <v>13</v>
      </c>
      <c r="F11">
        <v>9</v>
      </c>
      <c r="G11">
        <v>0</v>
      </c>
      <c r="H11">
        <v>4</v>
      </c>
      <c r="I11" s="7">
        <f>IFERROR((F11/E11)*100,0)</f>
        <v>69.230769230769226</v>
      </c>
      <c r="J11" s="10">
        <f>IFERROR(C11/E11,0)</f>
        <v>2.3000000000000003</v>
      </c>
      <c r="K11" s="10">
        <f>IFERROR(D11/E11,0)</f>
        <v>0.46000000000000008</v>
      </c>
      <c r="L11" s="10" t="str">
        <f>LEFT(B11,3)</f>
        <v>LEG</v>
      </c>
      <c r="M11">
        <v>9</v>
      </c>
      <c r="N11" s="7">
        <f>M11-A11</f>
        <v>-1</v>
      </c>
      <c r="P11">
        <f t="shared" si="1"/>
        <v>29.900000000000006</v>
      </c>
      <c r="Q11">
        <f t="shared" si="2"/>
        <v>5.9800000000000013</v>
      </c>
      <c r="R11">
        <f t="shared" si="3"/>
        <v>13</v>
      </c>
      <c r="S11">
        <f t="shared" si="4"/>
        <v>9</v>
      </c>
      <c r="T11">
        <f t="shared" si="5"/>
        <v>0</v>
      </c>
      <c r="U11">
        <f t="shared" si="6"/>
        <v>4</v>
      </c>
    </row>
    <row r="12" spans="1:28" x14ac:dyDescent="0.25">
      <c r="A12">
        <v>11</v>
      </c>
      <c r="B12" t="s">
        <v>152</v>
      </c>
      <c r="C12">
        <v>25.9</v>
      </c>
      <c r="D12">
        <v>5.1800000000000006</v>
      </c>
      <c r="E12">
        <v>11</v>
      </c>
      <c r="F12">
        <v>6</v>
      </c>
      <c r="G12">
        <v>0</v>
      </c>
      <c r="H12">
        <v>5</v>
      </c>
      <c r="I12" s="7">
        <f>IFERROR((F12/E12)*100,0)</f>
        <v>54.54545454545454</v>
      </c>
      <c r="J12" s="10">
        <f>IFERROR(C12/E12,0)</f>
        <v>2.3545454545454545</v>
      </c>
      <c r="K12" s="10">
        <f>IFERROR(D12/E12,0)</f>
        <v>0.47090909090909094</v>
      </c>
      <c r="L12" s="10" t="str">
        <f>LEFT(B12,3)</f>
        <v>PEG</v>
      </c>
      <c r="M12">
        <v>12</v>
      </c>
      <c r="N12" s="7">
        <f>M12-A12</f>
        <v>1</v>
      </c>
      <c r="P12">
        <f t="shared" si="1"/>
        <v>25.9</v>
      </c>
      <c r="Q12">
        <f t="shared" si="2"/>
        <v>5.1800000000000006</v>
      </c>
      <c r="R12">
        <f t="shared" si="3"/>
        <v>11</v>
      </c>
      <c r="S12">
        <f t="shared" si="4"/>
        <v>6</v>
      </c>
      <c r="T12">
        <f t="shared" si="5"/>
        <v>0</v>
      </c>
      <c r="U12">
        <f t="shared" si="6"/>
        <v>5</v>
      </c>
    </row>
    <row r="13" spans="1:28" x14ac:dyDescent="0.25">
      <c r="A13">
        <v>12</v>
      </c>
      <c r="B13" t="s">
        <v>54</v>
      </c>
      <c r="C13">
        <v>24.999999999999986</v>
      </c>
      <c r="D13">
        <v>5.0000000000000027</v>
      </c>
      <c r="E13">
        <v>72</v>
      </c>
      <c r="F13">
        <v>39</v>
      </c>
      <c r="G13">
        <v>1</v>
      </c>
      <c r="H13">
        <v>32</v>
      </c>
      <c r="I13" s="7">
        <f>IFERROR((F13/E13)*100,0)</f>
        <v>54.166666666666664</v>
      </c>
      <c r="J13" s="10">
        <f>IFERROR(C13/E13,0)</f>
        <v>0.34722222222222204</v>
      </c>
      <c r="K13" s="10">
        <f>IFERROR(D13/E13,0)</f>
        <v>6.9444444444444475E-2</v>
      </c>
      <c r="L13" s="10" t="str">
        <f>LEFT(B13,3)</f>
        <v>WEG</v>
      </c>
      <c r="M13">
        <v>10</v>
      </c>
      <c r="N13" s="7">
        <f>M13-A13</f>
        <v>-2</v>
      </c>
      <c r="P13">
        <f t="shared" si="1"/>
        <v>24.999999999999986</v>
      </c>
      <c r="Q13">
        <f t="shared" si="2"/>
        <v>5.0000000000000027</v>
      </c>
      <c r="R13">
        <f t="shared" si="3"/>
        <v>72</v>
      </c>
      <c r="S13">
        <f t="shared" si="4"/>
        <v>39</v>
      </c>
      <c r="T13">
        <f t="shared" si="5"/>
        <v>1</v>
      </c>
      <c r="U13">
        <f t="shared" si="6"/>
        <v>32</v>
      </c>
    </row>
    <row r="14" spans="1:28" x14ac:dyDescent="0.25">
      <c r="A14">
        <v>13</v>
      </c>
      <c r="B14" t="s">
        <v>62</v>
      </c>
      <c r="C14">
        <v>23.4</v>
      </c>
      <c r="D14">
        <v>4.6800000000000015</v>
      </c>
      <c r="E14">
        <v>44</v>
      </c>
      <c r="F14">
        <v>22</v>
      </c>
      <c r="G14">
        <v>1</v>
      </c>
      <c r="H14">
        <v>21</v>
      </c>
      <c r="I14" s="7">
        <f>IFERROR((F14/E14)*100,0)</f>
        <v>50</v>
      </c>
      <c r="J14" s="10">
        <f>IFERROR(C14/E14,0)</f>
        <v>0.53181818181818175</v>
      </c>
      <c r="K14" s="10">
        <f>IFERROR(D14/E14,0)</f>
        <v>0.1063636363636364</v>
      </c>
      <c r="L14" s="10" t="str">
        <f>LEFT(B14,3)</f>
        <v>PEG</v>
      </c>
      <c r="M14">
        <v>13</v>
      </c>
      <c r="N14" s="7">
        <f>M14-A14</f>
        <v>0</v>
      </c>
      <c r="P14">
        <f t="shared" si="1"/>
        <v>23.4</v>
      </c>
      <c r="Q14">
        <f t="shared" si="2"/>
        <v>4.6800000000000015</v>
      </c>
      <c r="R14">
        <f t="shared" si="3"/>
        <v>44</v>
      </c>
      <c r="S14">
        <f t="shared" si="4"/>
        <v>22</v>
      </c>
      <c r="T14">
        <f t="shared" si="5"/>
        <v>1</v>
      </c>
      <c r="U14">
        <f t="shared" si="6"/>
        <v>21</v>
      </c>
    </row>
    <row r="15" spans="1:28" x14ac:dyDescent="0.25">
      <c r="A15">
        <v>14</v>
      </c>
      <c r="B15" t="s">
        <v>83</v>
      </c>
      <c r="C15">
        <v>21.8</v>
      </c>
      <c r="D15">
        <v>4.3599999999999994</v>
      </c>
      <c r="E15">
        <v>21</v>
      </c>
      <c r="F15">
        <v>10</v>
      </c>
      <c r="G15">
        <v>2</v>
      </c>
      <c r="H15">
        <v>9</v>
      </c>
      <c r="I15" s="7">
        <f>IFERROR((F15/E15)*100,0)</f>
        <v>47.619047619047613</v>
      </c>
      <c r="J15" s="10">
        <f>IFERROR(C15/E15,0)</f>
        <v>1.0380952380952382</v>
      </c>
      <c r="K15" s="10">
        <f>IFERROR(D15/E15,0)</f>
        <v>0.20761904761904759</v>
      </c>
      <c r="L15" s="10" t="str">
        <f>LEFT(B15,3)</f>
        <v>UEG</v>
      </c>
      <c r="M15">
        <v>16</v>
      </c>
      <c r="N15" s="7">
        <f>M15-A15</f>
        <v>2</v>
      </c>
      <c r="P15">
        <f t="shared" si="1"/>
        <v>21.8</v>
      </c>
      <c r="Q15">
        <f t="shared" si="2"/>
        <v>4.3599999999999994</v>
      </c>
      <c r="R15">
        <f t="shared" si="3"/>
        <v>21</v>
      </c>
      <c r="S15">
        <f t="shared" si="4"/>
        <v>10</v>
      </c>
      <c r="T15">
        <f t="shared" si="5"/>
        <v>2</v>
      </c>
      <c r="U15">
        <f t="shared" si="6"/>
        <v>9</v>
      </c>
    </row>
    <row r="16" spans="1:28" x14ac:dyDescent="0.25">
      <c r="A16">
        <v>15</v>
      </c>
      <c r="B16" s="8" t="s">
        <v>87</v>
      </c>
      <c r="C16">
        <v>18.899999999999999</v>
      </c>
      <c r="D16">
        <v>3.7800000000000002</v>
      </c>
      <c r="E16">
        <v>11</v>
      </c>
      <c r="F16">
        <v>7</v>
      </c>
      <c r="G16">
        <v>0</v>
      </c>
      <c r="H16">
        <v>4</v>
      </c>
      <c r="I16" s="7">
        <f>IFERROR((F16/E16)*100,0)</f>
        <v>63.636363636363633</v>
      </c>
      <c r="J16" s="10">
        <f>IFERROR(C16/E16,0)</f>
        <v>1.718181818181818</v>
      </c>
      <c r="K16" s="10">
        <f>IFERROR(D16/E16,0)</f>
        <v>0.34363636363636368</v>
      </c>
      <c r="L16" s="10" t="str">
        <f>LEFT(B16,3)</f>
        <v>PEG</v>
      </c>
      <c r="M16">
        <v>14</v>
      </c>
      <c r="N16" s="7">
        <f>M16-A16</f>
        <v>-1</v>
      </c>
      <c r="P16">
        <f t="shared" si="1"/>
        <v>18.899999999999999</v>
      </c>
      <c r="Q16">
        <f t="shared" si="2"/>
        <v>3.7800000000000002</v>
      </c>
      <c r="R16">
        <f t="shared" si="3"/>
        <v>11</v>
      </c>
      <c r="S16">
        <f t="shared" si="4"/>
        <v>7</v>
      </c>
      <c r="T16">
        <f t="shared" si="5"/>
        <v>0</v>
      </c>
      <c r="U16">
        <f t="shared" si="6"/>
        <v>4</v>
      </c>
    </row>
    <row r="17" spans="1:21" x14ac:dyDescent="0.25">
      <c r="A17">
        <v>16</v>
      </c>
      <c r="B17" s="8" t="s">
        <v>150</v>
      </c>
      <c r="C17">
        <v>18</v>
      </c>
      <c r="D17">
        <v>3.5999999999999996</v>
      </c>
      <c r="E17">
        <v>14</v>
      </c>
      <c r="F17">
        <v>8</v>
      </c>
      <c r="G17">
        <v>2</v>
      </c>
      <c r="H17">
        <v>4</v>
      </c>
      <c r="I17" s="7">
        <f>IFERROR((F17/E17)*100,0)</f>
        <v>57.142857142857139</v>
      </c>
      <c r="J17" s="10">
        <f>IFERROR(C17/E17,0)</f>
        <v>1.2857142857142858</v>
      </c>
      <c r="K17" s="10">
        <f>IFERROR(D17/E17,0)</f>
        <v>0.25714285714285712</v>
      </c>
      <c r="L17" s="10" t="str">
        <f>LEFT(B17,3)</f>
        <v>UEG</v>
      </c>
      <c r="M17">
        <v>17</v>
      </c>
      <c r="N17" s="7">
        <f>M17-A17</f>
        <v>1</v>
      </c>
      <c r="P17">
        <f t="shared" si="1"/>
        <v>18</v>
      </c>
      <c r="Q17">
        <f t="shared" si="2"/>
        <v>3.5999999999999996</v>
      </c>
      <c r="R17">
        <f t="shared" si="3"/>
        <v>14</v>
      </c>
      <c r="S17">
        <f t="shared" si="4"/>
        <v>8</v>
      </c>
      <c r="T17">
        <f t="shared" si="5"/>
        <v>2</v>
      </c>
      <c r="U17">
        <f t="shared" si="6"/>
        <v>4</v>
      </c>
    </row>
    <row r="18" spans="1:21" x14ac:dyDescent="0.25">
      <c r="A18">
        <v>17</v>
      </c>
      <c r="B18" t="s">
        <v>56</v>
      </c>
      <c r="C18">
        <v>16</v>
      </c>
      <c r="D18">
        <v>3.1999999999999993</v>
      </c>
      <c r="E18">
        <v>13</v>
      </c>
      <c r="F18">
        <v>8</v>
      </c>
      <c r="G18">
        <v>1</v>
      </c>
      <c r="H18">
        <v>4</v>
      </c>
      <c r="I18" s="7">
        <f>IFERROR((F18/E18)*100,0)</f>
        <v>61.53846153846154</v>
      </c>
      <c r="J18" s="10">
        <f>IFERROR(C18/E18,0)</f>
        <v>1.2307692307692308</v>
      </c>
      <c r="K18" s="10">
        <f>IFERROR(D18/E18,0)</f>
        <v>0.24615384615384611</v>
      </c>
      <c r="L18" s="10" t="str">
        <f>LEFT(B18,3)</f>
        <v>WEG</v>
      </c>
      <c r="M18">
        <v>15</v>
      </c>
      <c r="N18" s="7">
        <f>M18-A18</f>
        <v>-2</v>
      </c>
      <c r="P18">
        <f t="shared" si="1"/>
        <v>16</v>
      </c>
      <c r="Q18">
        <f t="shared" ref="Q18:Q53" si="7">D18+X18</f>
        <v>3.1999999999999993</v>
      </c>
      <c r="R18">
        <f t="shared" ref="R18:R53" si="8">E18+Y18</f>
        <v>13</v>
      </c>
      <c r="S18">
        <f t="shared" ref="S18:S53" si="9">F18+Z18</f>
        <v>8</v>
      </c>
      <c r="T18">
        <f t="shared" ref="T18:T47" si="10">G18+AA18</f>
        <v>1</v>
      </c>
      <c r="U18">
        <f t="shared" ref="U18:U47" si="11">H18+AB18</f>
        <v>4</v>
      </c>
    </row>
    <row r="19" spans="1:21" x14ac:dyDescent="0.25">
      <c r="A19">
        <v>18</v>
      </c>
      <c r="B19" t="s">
        <v>159</v>
      </c>
      <c r="C19">
        <v>12.2</v>
      </c>
      <c r="D19">
        <v>2.44</v>
      </c>
      <c r="E19">
        <v>5</v>
      </c>
      <c r="F19">
        <v>4</v>
      </c>
      <c r="G19">
        <v>1</v>
      </c>
      <c r="H19">
        <v>0</v>
      </c>
      <c r="I19" s="7">
        <f>IFERROR((F19/E19)*100,0)</f>
        <v>80</v>
      </c>
      <c r="J19" s="10">
        <f>IFERROR(C19/E19,0)</f>
        <v>2.44</v>
      </c>
      <c r="K19" s="10">
        <f>IFERROR(D19/E19,0)</f>
        <v>0.48799999999999999</v>
      </c>
      <c r="L19" s="10" t="str">
        <f>LEFT(B19,3)</f>
        <v>PEG</v>
      </c>
      <c r="M19">
        <v>74</v>
      </c>
      <c r="N19" s="7">
        <f>M19-A19</f>
        <v>56</v>
      </c>
      <c r="P19">
        <f t="shared" si="1"/>
        <v>12.2</v>
      </c>
      <c r="Q19">
        <f t="shared" si="7"/>
        <v>2.44</v>
      </c>
      <c r="R19">
        <f t="shared" si="8"/>
        <v>5</v>
      </c>
      <c r="S19">
        <f t="shared" si="9"/>
        <v>4</v>
      </c>
      <c r="T19">
        <f t="shared" si="10"/>
        <v>1</v>
      </c>
      <c r="U19">
        <f t="shared" si="11"/>
        <v>0</v>
      </c>
    </row>
    <row r="20" spans="1:21" x14ac:dyDescent="0.25">
      <c r="A20">
        <v>19</v>
      </c>
      <c r="B20" s="4" t="s">
        <v>95</v>
      </c>
      <c r="C20">
        <v>11.399999999999997</v>
      </c>
      <c r="D20">
        <v>2.2800000000000002</v>
      </c>
      <c r="E20">
        <v>9</v>
      </c>
      <c r="F20">
        <v>5</v>
      </c>
      <c r="G20">
        <v>0</v>
      </c>
      <c r="H20">
        <v>4</v>
      </c>
      <c r="I20" s="7">
        <f>IFERROR((F20/E20)*100,0)</f>
        <v>55.555555555555557</v>
      </c>
      <c r="J20" s="10">
        <f>IFERROR(C20/E20,0)</f>
        <v>1.2666666666666664</v>
      </c>
      <c r="K20" s="10">
        <f>IFERROR(D20/E20,0)</f>
        <v>0.25333333333333335</v>
      </c>
      <c r="L20" s="10" t="str">
        <f>LEFT(B20,3)</f>
        <v>LEG</v>
      </c>
      <c r="M20">
        <v>18</v>
      </c>
      <c r="N20" s="7">
        <f>M20-A20</f>
        <v>-1</v>
      </c>
      <c r="P20">
        <f t="shared" si="1"/>
        <v>11.399999999999997</v>
      </c>
      <c r="Q20">
        <f t="shared" si="7"/>
        <v>2.2800000000000002</v>
      </c>
      <c r="R20">
        <f t="shared" si="8"/>
        <v>9</v>
      </c>
      <c r="S20">
        <f t="shared" si="9"/>
        <v>5</v>
      </c>
      <c r="T20">
        <f t="shared" si="10"/>
        <v>0</v>
      </c>
      <c r="U20">
        <f t="shared" si="11"/>
        <v>4</v>
      </c>
    </row>
    <row r="21" spans="1:21" x14ac:dyDescent="0.25">
      <c r="A21">
        <v>20</v>
      </c>
      <c r="B21" t="s">
        <v>64</v>
      </c>
      <c r="C21">
        <v>9.2000000000000028</v>
      </c>
      <c r="D21">
        <v>1.8400000000000003</v>
      </c>
      <c r="E21">
        <v>25</v>
      </c>
      <c r="F21">
        <v>12</v>
      </c>
      <c r="G21">
        <v>1</v>
      </c>
      <c r="H21">
        <v>12</v>
      </c>
      <c r="I21" s="7">
        <f>IFERROR((F21/E21)*100,0)</f>
        <v>48</v>
      </c>
      <c r="J21" s="10">
        <f>IFERROR(C21/E21,0)</f>
        <v>0.3680000000000001</v>
      </c>
      <c r="K21" s="10">
        <f>IFERROR(D21/E21,0)</f>
        <v>7.3600000000000013E-2</v>
      </c>
      <c r="L21" s="10" t="str">
        <f>LEFT(B21,3)</f>
        <v>LEG</v>
      </c>
      <c r="M21">
        <v>21</v>
      </c>
      <c r="N21" s="7">
        <f>M21-A21</f>
        <v>1</v>
      </c>
      <c r="P21">
        <f t="shared" si="1"/>
        <v>9.2000000000000028</v>
      </c>
      <c r="Q21">
        <f t="shared" si="7"/>
        <v>1.8400000000000003</v>
      </c>
      <c r="R21">
        <f t="shared" si="8"/>
        <v>25</v>
      </c>
      <c r="S21">
        <f t="shared" si="9"/>
        <v>12</v>
      </c>
      <c r="T21">
        <f t="shared" si="10"/>
        <v>1</v>
      </c>
      <c r="U21">
        <f t="shared" si="11"/>
        <v>12</v>
      </c>
    </row>
    <row r="22" spans="1:21" x14ac:dyDescent="0.25">
      <c r="A22">
        <v>21</v>
      </c>
      <c r="B22" t="s">
        <v>84</v>
      </c>
      <c r="C22">
        <v>9</v>
      </c>
      <c r="D22">
        <v>1.7999999999999998</v>
      </c>
      <c r="E22">
        <v>6</v>
      </c>
      <c r="F22">
        <v>3</v>
      </c>
      <c r="G22">
        <v>0</v>
      </c>
      <c r="H22">
        <v>3</v>
      </c>
      <c r="I22" s="7">
        <f>IFERROR((F22/E22)*100,0)</f>
        <v>50</v>
      </c>
      <c r="J22" s="10">
        <f>IFERROR(C22/E22,0)</f>
        <v>1.5</v>
      </c>
      <c r="K22" s="10">
        <f>IFERROR(D22/E22,0)</f>
        <v>0.3</v>
      </c>
      <c r="L22" s="10" t="str">
        <f>LEFT(B22,3)</f>
        <v>UEG</v>
      </c>
      <c r="M22">
        <v>22</v>
      </c>
      <c r="N22" s="7">
        <f>M22-A22</f>
        <v>1</v>
      </c>
      <c r="P22">
        <f t="shared" si="1"/>
        <v>9</v>
      </c>
      <c r="Q22">
        <f t="shared" si="7"/>
        <v>1.7999999999999998</v>
      </c>
      <c r="R22">
        <f t="shared" si="8"/>
        <v>6</v>
      </c>
      <c r="S22">
        <f t="shared" si="9"/>
        <v>3</v>
      </c>
      <c r="T22">
        <f t="shared" si="10"/>
        <v>0</v>
      </c>
      <c r="U22">
        <f t="shared" si="11"/>
        <v>3</v>
      </c>
    </row>
    <row r="23" spans="1:21" x14ac:dyDescent="0.25">
      <c r="A23">
        <v>22</v>
      </c>
      <c r="B23" t="s">
        <v>136</v>
      </c>
      <c r="C23">
        <v>5.8000000000000007</v>
      </c>
      <c r="D23">
        <v>1.1600000000000001</v>
      </c>
      <c r="E23">
        <v>16</v>
      </c>
      <c r="F23">
        <v>10</v>
      </c>
      <c r="G23">
        <v>0</v>
      </c>
      <c r="H23">
        <v>6</v>
      </c>
      <c r="I23" s="7">
        <f>IFERROR((F23/E23)*100,0)</f>
        <v>62.5</v>
      </c>
      <c r="J23" s="10">
        <f>IFERROR(C23/E23,0)</f>
        <v>0.36250000000000004</v>
      </c>
      <c r="K23" s="10">
        <f>IFERROR(D23/E23,0)</f>
        <v>7.2500000000000009E-2</v>
      </c>
      <c r="L23" s="10" t="str">
        <f>LEFT(B23,3)</f>
        <v>WEG</v>
      </c>
      <c r="M23">
        <v>19</v>
      </c>
      <c r="N23" s="7">
        <f>M23-A23</f>
        <v>-3</v>
      </c>
      <c r="P23">
        <f t="shared" si="1"/>
        <v>5.8000000000000007</v>
      </c>
      <c r="Q23">
        <f t="shared" si="7"/>
        <v>1.1600000000000001</v>
      </c>
      <c r="R23">
        <f t="shared" si="8"/>
        <v>16</v>
      </c>
      <c r="S23">
        <f t="shared" si="9"/>
        <v>10</v>
      </c>
      <c r="T23">
        <f t="shared" si="10"/>
        <v>0</v>
      </c>
      <c r="U23">
        <f t="shared" si="11"/>
        <v>6</v>
      </c>
    </row>
    <row r="24" spans="1:21" x14ac:dyDescent="0.25">
      <c r="A24">
        <v>23</v>
      </c>
      <c r="B24" t="s">
        <v>53</v>
      </c>
      <c r="C24">
        <v>5.1000000000000014</v>
      </c>
      <c r="D24">
        <v>1.0200000000000011</v>
      </c>
      <c r="E24">
        <v>23</v>
      </c>
      <c r="F24">
        <v>11</v>
      </c>
      <c r="G24">
        <v>0</v>
      </c>
      <c r="H24">
        <v>12</v>
      </c>
      <c r="I24" s="7">
        <f>IFERROR((F24/E24)*100,0)</f>
        <v>47.826086956521742</v>
      </c>
      <c r="J24" s="10">
        <f>IFERROR(C24/E24,0)</f>
        <v>0.22173913043478266</v>
      </c>
      <c r="K24" s="10">
        <f>IFERROR(D24/E24,0)</f>
        <v>4.4347826086956574E-2</v>
      </c>
      <c r="L24" s="10" t="str">
        <f>LEFT(B24,3)</f>
        <v>LEG</v>
      </c>
      <c r="M24">
        <v>20</v>
      </c>
      <c r="N24" s="7">
        <f>M24-A24</f>
        <v>-3</v>
      </c>
      <c r="P24">
        <f t="shared" si="1"/>
        <v>5.1000000000000014</v>
      </c>
      <c r="Q24">
        <f t="shared" si="7"/>
        <v>1.0200000000000011</v>
      </c>
      <c r="R24">
        <f t="shared" si="8"/>
        <v>23</v>
      </c>
      <c r="S24">
        <f t="shared" si="9"/>
        <v>11</v>
      </c>
      <c r="T24">
        <f t="shared" si="10"/>
        <v>0</v>
      </c>
      <c r="U24">
        <f t="shared" si="11"/>
        <v>12</v>
      </c>
    </row>
    <row r="25" spans="1:21" x14ac:dyDescent="0.25">
      <c r="A25">
        <v>24</v>
      </c>
      <c r="B25" s="8" t="s">
        <v>158</v>
      </c>
      <c r="C25">
        <v>4.0999999999999996</v>
      </c>
      <c r="D25">
        <v>0.81999999999999984</v>
      </c>
      <c r="E25">
        <v>4</v>
      </c>
      <c r="F25">
        <v>2</v>
      </c>
      <c r="G25">
        <v>0</v>
      </c>
      <c r="H25">
        <v>2</v>
      </c>
      <c r="I25" s="7">
        <f>IFERROR((F25/E25)*100,0)</f>
        <v>50</v>
      </c>
      <c r="J25" s="10">
        <f>IFERROR(C25/E25,0)</f>
        <v>1.0249999999999999</v>
      </c>
      <c r="K25" s="10">
        <f>IFERROR(D25/E25,0)</f>
        <v>0.20499999999999996</v>
      </c>
      <c r="L25" s="10" t="str">
        <f>LEFT(B25,3)</f>
        <v>PEG</v>
      </c>
      <c r="M25">
        <v>73</v>
      </c>
      <c r="N25" s="7">
        <f>M25-A25</f>
        <v>49</v>
      </c>
      <c r="P25">
        <f t="shared" si="1"/>
        <v>4.0999999999999996</v>
      </c>
      <c r="Q25">
        <f t="shared" si="7"/>
        <v>0.81999999999999984</v>
      </c>
      <c r="R25">
        <f t="shared" si="8"/>
        <v>4</v>
      </c>
      <c r="S25">
        <f t="shared" si="9"/>
        <v>2</v>
      </c>
      <c r="T25">
        <f t="shared" si="10"/>
        <v>0</v>
      </c>
      <c r="U25">
        <f t="shared" si="11"/>
        <v>2</v>
      </c>
    </row>
    <row r="26" spans="1:21" x14ac:dyDescent="0.25">
      <c r="A26">
        <v>25</v>
      </c>
      <c r="B26" s="8" t="s">
        <v>132</v>
      </c>
      <c r="C26">
        <v>2.8</v>
      </c>
      <c r="D26">
        <v>0.55999999999999983</v>
      </c>
      <c r="E26">
        <v>10</v>
      </c>
      <c r="F26">
        <v>5</v>
      </c>
      <c r="G26">
        <v>0</v>
      </c>
      <c r="H26">
        <v>5</v>
      </c>
      <c r="I26" s="7">
        <f>IFERROR((F26/E26)*100,0)</f>
        <v>50</v>
      </c>
      <c r="J26" s="10">
        <f>IFERROR(C26/E26,0)</f>
        <v>0.27999999999999997</v>
      </c>
      <c r="K26" s="10">
        <f>IFERROR(D26/E26,0)</f>
        <v>5.599999999999998E-2</v>
      </c>
      <c r="L26" s="10" t="str">
        <f>LEFT(B26,3)</f>
        <v>UEG</v>
      </c>
      <c r="M26">
        <v>23</v>
      </c>
      <c r="N26" s="7">
        <f>M26-A26</f>
        <v>-2</v>
      </c>
      <c r="P26">
        <f t="shared" si="1"/>
        <v>2.8</v>
      </c>
      <c r="Q26">
        <f t="shared" si="7"/>
        <v>0.55999999999999983</v>
      </c>
      <c r="R26">
        <f t="shared" si="8"/>
        <v>10</v>
      </c>
      <c r="S26">
        <f t="shared" si="9"/>
        <v>5</v>
      </c>
      <c r="T26">
        <f t="shared" si="10"/>
        <v>0</v>
      </c>
      <c r="U26">
        <f t="shared" si="11"/>
        <v>5</v>
      </c>
    </row>
    <row r="27" spans="1:21" x14ac:dyDescent="0.25">
      <c r="A27">
        <v>26</v>
      </c>
      <c r="B27" t="s">
        <v>134</v>
      </c>
      <c r="C27">
        <v>1.5999999999999996</v>
      </c>
      <c r="D27">
        <v>0.31999999999999962</v>
      </c>
      <c r="E27">
        <v>20</v>
      </c>
      <c r="F27">
        <v>8</v>
      </c>
      <c r="G27">
        <v>0</v>
      </c>
      <c r="H27">
        <v>12</v>
      </c>
      <c r="I27" s="7">
        <f>IFERROR((F27/E27)*100,0)</f>
        <v>40</v>
      </c>
      <c r="J27" s="10">
        <f>IFERROR(C27/E27,0)</f>
        <v>7.9999999999999988E-2</v>
      </c>
      <c r="K27" s="10">
        <f>IFERROR(D27/E27,0)</f>
        <v>1.599999999999998E-2</v>
      </c>
      <c r="L27" s="10" t="str">
        <f>LEFT(B27,3)</f>
        <v>VEG</v>
      </c>
      <c r="M27">
        <v>24</v>
      </c>
      <c r="N27" s="7">
        <f>M27-A27</f>
        <v>-2</v>
      </c>
      <c r="P27">
        <f t="shared" si="1"/>
        <v>1.5999999999999996</v>
      </c>
      <c r="Q27">
        <f t="shared" si="7"/>
        <v>0.31999999999999962</v>
      </c>
      <c r="R27">
        <f t="shared" si="8"/>
        <v>20</v>
      </c>
      <c r="S27">
        <f t="shared" si="9"/>
        <v>8</v>
      </c>
      <c r="T27">
        <f t="shared" si="10"/>
        <v>0</v>
      </c>
      <c r="U27">
        <f t="shared" si="11"/>
        <v>12</v>
      </c>
    </row>
    <row r="28" spans="1:21" x14ac:dyDescent="0.25">
      <c r="A28">
        <v>27</v>
      </c>
      <c r="B28" t="s">
        <v>61</v>
      </c>
      <c r="C28">
        <v>1.1999999999999993</v>
      </c>
      <c r="D28">
        <v>0.23999999999999988</v>
      </c>
      <c r="E28">
        <v>8</v>
      </c>
      <c r="F28">
        <v>5</v>
      </c>
      <c r="G28">
        <v>1</v>
      </c>
      <c r="H28">
        <v>2</v>
      </c>
      <c r="I28" s="7">
        <f>IFERROR((F28/E28)*100,0)</f>
        <v>62.5</v>
      </c>
      <c r="J28" s="10">
        <f>IFERROR(C28/E28,0)</f>
        <v>0.14999999999999991</v>
      </c>
      <c r="K28" s="10">
        <f>IFERROR(D28/E28,0)</f>
        <v>2.9999999999999985E-2</v>
      </c>
      <c r="L28" s="10" t="str">
        <f>LEFT(B28,3)</f>
        <v>PEG</v>
      </c>
      <c r="M28">
        <v>25</v>
      </c>
      <c r="N28" s="7">
        <f>M28-A28</f>
        <v>-2</v>
      </c>
      <c r="P28">
        <f t="shared" si="1"/>
        <v>1.1999999999999993</v>
      </c>
      <c r="Q28">
        <f t="shared" si="7"/>
        <v>0.23999999999999988</v>
      </c>
      <c r="R28">
        <f t="shared" si="8"/>
        <v>8</v>
      </c>
      <c r="S28">
        <f t="shared" si="9"/>
        <v>5</v>
      </c>
      <c r="T28">
        <f t="shared" si="10"/>
        <v>1</v>
      </c>
      <c r="U28">
        <f t="shared" si="11"/>
        <v>2</v>
      </c>
    </row>
    <row r="29" spans="1:21" x14ac:dyDescent="0.25">
      <c r="A29">
        <v>28</v>
      </c>
      <c r="B29" s="8" t="s">
        <v>72</v>
      </c>
      <c r="C29">
        <v>1</v>
      </c>
      <c r="D29">
        <v>0.2</v>
      </c>
      <c r="E29">
        <v>2</v>
      </c>
      <c r="F29">
        <v>1</v>
      </c>
      <c r="G29">
        <v>0</v>
      </c>
      <c r="H29">
        <v>1</v>
      </c>
      <c r="I29" s="7">
        <f>IFERROR((F29/E29)*100,0)</f>
        <v>50</v>
      </c>
      <c r="J29" s="10">
        <f>IFERROR(C29/E29,0)</f>
        <v>0.5</v>
      </c>
      <c r="K29" s="10">
        <f>IFERROR(D29/E29,0)</f>
        <v>0.1</v>
      </c>
      <c r="L29" s="10" t="str">
        <f>LEFT(B29,3)</f>
        <v>PEG</v>
      </c>
      <c r="M29">
        <v>26</v>
      </c>
      <c r="N29" s="7">
        <f>M29-A29</f>
        <v>-2</v>
      </c>
      <c r="P29">
        <f t="shared" si="1"/>
        <v>1</v>
      </c>
      <c r="Q29">
        <f t="shared" si="7"/>
        <v>0.2</v>
      </c>
      <c r="R29">
        <f t="shared" si="8"/>
        <v>2</v>
      </c>
      <c r="S29">
        <f t="shared" si="9"/>
        <v>1</v>
      </c>
      <c r="T29">
        <f t="shared" si="10"/>
        <v>0</v>
      </c>
      <c r="U29">
        <f t="shared" si="11"/>
        <v>1</v>
      </c>
    </row>
    <row r="30" spans="1:21" x14ac:dyDescent="0.25">
      <c r="A30">
        <v>29</v>
      </c>
      <c r="B30" s="8" t="s">
        <v>139</v>
      </c>
      <c r="C30">
        <v>0.90000000000000213</v>
      </c>
      <c r="D30">
        <v>0.18000000000000016</v>
      </c>
      <c r="E30">
        <v>9</v>
      </c>
      <c r="F30">
        <v>5</v>
      </c>
      <c r="G30">
        <v>0</v>
      </c>
      <c r="H30">
        <v>4</v>
      </c>
      <c r="I30" s="7">
        <f>IFERROR((F30/E30)*100,0)</f>
        <v>55.555555555555557</v>
      </c>
      <c r="J30" s="10">
        <f>IFERROR(C30/E30,0)</f>
        <v>0.10000000000000024</v>
      </c>
      <c r="K30" s="10">
        <f>IFERROR(D30/E30,0)</f>
        <v>2.0000000000000018E-2</v>
      </c>
      <c r="L30" s="10" t="str">
        <f>LEFT(B30,3)</f>
        <v>PEG</v>
      </c>
      <c r="M30">
        <v>27</v>
      </c>
      <c r="N30" s="7">
        <f>M30-A30</f>
        <v>-2</v>
      </c>
      <c r="P30">
        <f t="shared" si="1"/>
        <v>0.90000000000000213</v>
      </c>
      <c r="Q30">
        <f t="shared" si="7"/>
        <v>0.18000000000000016</v>
      </c>
      <c r="R30">
        <f t="shared" si="8"/>
        <v>9</v>
      </c>
      <c r="S30">
        <f t="shared" si="9"/>
        <v>5</v>
      </c>
      <c r="T30">
        <f t="shared" si="10"/>
        <v>0</v>
      </c>
      <c r="U30">
        <f t="shared" si="11"/>
        <v>4</v>
      </c>
    </row>
    <row r="31" spans="1:21" x14ac:dyDescent="0.25">
      <c r="A31">
        <v>30</v>
      </c>
      <c r="B31" t="s">
        <v>58</v>
      </c>
      <c r="C31">
        <v>9.9999999999992539E-2</v>
      </c>
      <c r="D31">
        <v>1.999999999999913E-2</v>
      </c>
      <c r="E31">
        <v>30</v>
      </c>
      <c r="F31">
        <v>17</v>
      </c>
      <c r="G31">
        <v>0</v>
      </c>
      <c r="H31">
        <v>13</v>
      </c>
      <c r="I31" s="7">
        <f>IFERROR((F31/E31)*100,0)</f>
        <v>56.666666666666664</v>
      </c>
      <c r="J31" s="10">
        <f>IFERROR(C31/E31,0)</f>
        <v>3.3333333333330846E-3</v>
      </c>
      <c r="K31" s="10">
        <f>IFERROR(D31/E31,0)</f>
        <v>6.666666666666377E-4</v>
      </c>
      <c r="L31" s="10" t="str">
        <f>LEFT(B31,3)</f>
        <v>LEG</v>
      </c>
      <c r="M31">
        <v>28</v>
      </c>
      <c r="N31" s="7">
        <f>M31-A31</f>
        <v>-2</v>
      </c>
      <c r="P31">
        <f t="shared" si="1"/>
        <v>9.9999999999992539E-2</v>
      </c>
      <c r="Q31">
        <f t="shared" si="7"/>
        <v>1.999999999999913E-2</v>
      </c>
      <c r="R31">
        <f t="shared" si="8"/>
        <v>30</v>
      </c>
      <c r="S31">
        <f t="shared" si="9"/>
        <v>17</v>
      </c>
      <c r="T31">
        <f t="shared" si="10"/>
        <v>0</v>
      </c>
      <c r="U31">
        <f t="shared" si="11"/>
        <v>13</v>
      </c>
    </row>
    <row r="32" spans="1:21" x14ac:dyDescent="0.25">
      <c r="A32">
        <v>31</v>
      </c>
      <c r="B32" s="8" t="s">
        <v>157</v>
      </c>
      <c r="C32">
        <v>0</v>
      </c>
      <c r="D32">
        <v>0</v>
      </c>
      <c r="E32">
        <v>1</v>
      </c>
      <c r="F32">
        <v>0</v>
      </c>
      <c r="G32">
        <v>1</v>
      </c>
      <c r="H32">
        <v>0</v>
      </c>
      <c r="I32" s="7">
        <f>IFERROR((F32/E32)*100,0)</f>
        <v>0</v>
      </c>
      <c r="J32" s="10">
        <f>IFERROR(C32/E32,0)</f>
        <v>0</v>
      </c>
      <c r="K32" s="10">
        <f>IFERROR(D32/E32,0)</f>
        <v>0</v>
      </c>
      <c r="L32" s="10" t="str">
        <f>LEFT(B32,3)</f>
        <v>PEG</v>
      </c>
      <c r="M32">
        <v>72</v>
      </c>
      <c r="N32" s="7">
        <f>M32-A32</f>
        <v>41</v>
      </c>
      <c r="P32">
        <f t="shared" si="1"/>
        <v>0</v>
      </c>
      <c r="Q32">
        <f t="shared" si="7"/>
        <v>0</v>
      </c>
      <c r="R32">
        <f t="shared" si="8"/>
        <v>1</v>
      </c>
      <c r="S32">
        <f t="shared" si="9"/>
        <v>0</v>
      </c>
      <c r="T32">
        <f t="shared" si="10"/>
        <v>1</v>
      </c>
      <c r="U32">
        <f t="shared" si="11"/>
        <v>0</v>
      </c>
    </row>
    <row r="33" spans="1:21" x14ac:dyDescent="0.25">
      <c r="A33">
        <v>32</v>
      </c>
      <c r="B33" t="s">
        <v>163</v>
      </c>
      <c r="C33">
        <v>-0.5</v>
      </c>
      <c r="D33">
        <v>-0.1</v>
      </c>
      <c r="E33">
        <v>1</v>
      </c>
      <c r="F33">
        <v>0</v>
      </c>
      <c r="G33">
        <v>0</v>
      </c>
      <c r="H33">
        <v>1</v>
      </c>
      <c r="I33" s="7">
        <f>IFERROR((F33/E33)*100,0)</f>
        <v>0</v>
      </c>
      <c r="J33" s="10">
        <f>IFERROR(C33/E33,0)</f>
        <v>-0.5</v>
      </c>
      <c r="K33" s="10">
        <f>IFERROR(D33/E33,0)</f>
        <v>-0.1</v>
      </c>
      <c r="L33" s="10" t="str">
        <f>LEFT(B33,3)</f>
        <v>LEG</v>
      </c>
      <c r="M33">
        <v>78</v>
      </c>
      <c r="N33" s="7">
        <f>M33-A33</f>
        <v>46</v>
      </c>
      <c r="P33">
        <f t="shared" si="1"/>
        <v>-0.5</v>
      </c>
      <c r="Q33">
        <f t="shared" si="7"/>
        <v>-0.1</v>
      </c>
      <c r="R33">
        <f t="shared" si="8"/>
        <v>1</v>
      </c>
      <c r="S33">
        <f t="shared" si="9"/>
        <v>0</v>
      </c>
      <c r="T33">
        <f t="shared" si="10"/>
        <v>0</v>
      </c>
      <c r="U33">
        <f t="shared" si="11"/>
        <v>1</v>
      </c>
    </row>
    <row r="34" spans="1:21" x14ac:dyDescent="0.25">
      <c r="A34">
        <v>33</v>
      </c>
      <c r="B34" t="s">
        <v>74</v>
      </c>
      <c r="C34">
        <v>-0.69999999999999929</v>
      </c>
      <c r="D34">
        <v>-0.13999999999999901</v>
      </c>
      <c r="E34">
        <v>22</v>
      </c>
      <c r="F34">
        <v>12</v>
      </c>
      <c r="G34">
        <v>1</v>
      </c>
      <c r="H34">
        <v>9</v>
      </c>
      <c r="I34" s="7">
        <f>IFERROR((F34/E34)*100,0)</f>
        <v>54.54545454545454</v>
      </c>
      <c r="J34" s="10">
        <f>IFERROR(C34/E34,0)</f>
        <v>-3.1818181818181787E-2</v>
      </c>
      <c r="K34" s="10">
        <f>IFERROR(D34/E34,0)</f>
        <v>-6.3636363636363187E-3</v>
      </c>
      <c r="L34" s="10" t="str">
        <f>LEFT(B34,3)</f>
        <v>PEG</v>
      </c>
      <c r="M34">
        <v>29</v>
      </c>
      <c r="N34" s="7">
        <f>M34-A34</f>
        <v>-4</v>
      </c>
      <c r="P34">
        <f t="shared" si="1"/>
        <v>-0.69999999999999929</v>
      </c>
      <c r="Q34">
        <f t="shared" si="7"/>
        <v>-0.13999999999999901</v>
      </c>
      <c r="R34">
        <f t="shared" si="8"/>
        <v>22</v>
      </c>
      <c r="S34">
        <f t="shared" si="9"/>
        <v>12</v>
      </c>
      <c r="T34">
        <f t="shared" si="10"/>
        <v>1</v>
      </c>
      <c r="U34">
        <f t="shared" si="11"/>
        <v>9</v>
      </c>
    </row>
    <row r="35" spans="1:21" x14ac:dyDescent="0.25">
      <c r="A35">
        <v>34</v>
      </c>
      <c r="B35" t="s">
        <v>79</v>
      </c>
      <c r="C35">
        <v>-0.70000000000000107</v>
      </c>
      <c r="D35">
        <v>-0.14000000000000012</v>
      </c>
      <c r="E35">
        <v>12</v>
      </c>
      <c r="F35">
        <v>9</v>
      </c>
      <c r="G35">
        <v>0</v>
      </c>
      <c r="H35">
        <v>3</v>
      </c>
      <c r="I35" s="7">
        <f>IFERROR((F35/E35)*100,0)</f>
        <v>75</v>
      </c>
      <c r="J35" s="10">
        <f>IFERROR(C35/E35,0)</f>
        <v>-5.8333333333333424E-2</v>
      </c>
      <c r="K35" s="10">
        <f>IFERROR(D35/E35,0)</f>
        <v>-1.1666666666666678E-2</v>
      </c>
      <c r="L35" s="10" t="str">
        <f>LEFT(B35,3)</f>
        <v>LEG</v>
      </c>
      <c r="M35">
        <v>30</v>
      </c>
      <c r="N35" s="7">
        <f>M35-A35</f>
        <v>-4</v>
      </c>
      <c r="P35">
        <f t="shared" si="1"/>
        <v>-0.70000000000000107</v>
      </c>
      <c r="Q35">
        <f t="shared" si="7"/>
        <v>-0.14000000000000012</v>
      </c>
      <c r="R35">
        <f t="shared" si="8"/>
        <v>12</v>
      </c>
      <c r="S35">
        <f t="shared" si="9"/>
        <v>9</v>
      </c>
      <c r="T35">
        <f t="shared" si="10"/>
        <v>0</v>
      </c>
      <c r="U35">
        <f t="shared" si="11"/>
        <v>3</v>
      </c>
    </row>
    <row r="36" spans="1:21" x14ac:dyDescent="0.25">
      <c r="A36">
        <v>35</v>
      </c>
      <c r="B36" t="s">
        <v>160</v>
      </c>
      <c r="C36">
        <v>-0.9</v>
      </c>
      <c r="D36">
        <v>-0.18</v>
      </c>
      <c r="E36">
        <v>1</v>
      </c>
      <c r="F36">
        <v>0</v>
      </c>
      <c r="G36">
        <v>0</v>
      </c>
      <c r="H36">
        <v>1</v>
      </c>
      <c r="I36" s="7">
        <f>IFERROR((F36/E36)*100,0)</f>
        <v>0</v>
      </c>
      <c r="J36" s="10">
        <f>IFERROR(C36/E36,0)</f>
        <v>-0.9</v>
      </c>
      <c r="K36" s="10">
        <f>IFERROR(D36/E36,0)</f>
        <v>-0.18</v>
      </c>
      <c r="L36" s="10" t="str">
        <f>LEFT(B36,3)</f>
        <v>PEG</v>
      </c>
      <c r="M36">
        <v>75</v>
      </c>
      <c r="N36" s="7">
        <f>M36-A36</f>
        <v>40</v>
      </c>
      <c r="P36">
        <f t="shared" si="1"/>
        <v>-0.9</v>
      </c>
      <c r="Q36">
        <f t="shared" si="7"/>
        <v>-0.18</v>
      </c>
      <c r="R36">
        <f t="shared" si="8"/>
        <v>1</v>
      </c>
      <c r="S36">
        <f t="shared" si="9"/>
        <v>0</v>
      </c>
      <c r="T36">
        <f t="shared" si="10"/>
        <v>0</v>
      </c>
      <c r="U36">
        <f t="shared" si="11"/>
        <v>1</v>
      </c>
    </row>
    <row r="37" spans="1:21" x14ac:dyDescent="0.25">
      <c r="A37">
        <v>36</v>
      </c>
      <c r="B37" s="5" t="s">
        <v>129</v>
      </c>
      <c r="C37">
        <v>-1.3000000000000007</v>
      </c>
      <c r="D37">
        <v>-0.26000000000000023</v>
      </c>
      <c r="E37">
        <v>41</v>
      </c>
      <c r="F37">
        <v>18</v>
      </c>
      <c r="G37">
        <v>0</v>
      </c>
      <c r="H37">
        <v>23</v>
      </c>
      <c r="I37" s="7">
        <f>IFERROR((F37/E37)*100,0)</f>
        <v>43.902439024390247</v>
      </c>
      <c r="J37" s="10">
        <f>IFERROR(C37/E37,0)</f>
        <v>-3.1707317073170746E-2</v>
      </c>
      <c r="K37" s="10">
        <f>IFERROR(D37/E37,0)</f>
        <v>-6.341463414634152E-3</v>
      </c>
      <c r="L37" s="10" t="str">
        <f>LEFT(B37,3)</f>
        <v>UEG</v>
      </c>
      <c r="M37">
        <v>31</v>
      </c>
      <c r="N37" s="7">
        <f>M37-A37</f>
        <v>-5</v>
      </c>
      <c r="P37">
        <f t="shared" si="1"/>
        <v>-1.3000000000000007</v>
      </c>
      <c r="Q37">
        <f t="shared" si="7"/>
        <v>-0.26000000000000023</v>
      </c>
      <c r="R37">
        <f t="shared" si="8"/>
        <v>41</v>
      </c>
      <c r="S37">
        <f t="shared" si="9"/>
        <v>18</v>
      </c>
      <c r="T37">
        <f t="shared" si="10"/>
        <v>0</v>
      </c>
      <c r="U37">
        <f t="shared" si="11"/>
        <v>23</v>
      </c>
    </row>
    <row r="38" spans="1:21" x14ac:dyDescent="0.25">
      <c r="A38">
        <v>37</v>
      </c>
      <c r="B38" s="6" t="s">
        <v>147</v>
      </c>
      <c r="C38">
        <v>-1.4000000000000004</v>
      </c>
      <c r="D38">
        <v>-0.28000000000000025</v>
      </c>
      <c r="E38">
        <v>4</v>
      </c>
      <c r="F38">
        <v>2</v>
      </c>
      <c r="G38">
        <v>0</v>
      </c>
      <c r="H38">
        <v>2</v>
      </c>
      <c r="I38" s="7">
        <f>IFERROR((F38/E38)*100,0)</f>
        <v>50</v>
      </c>
      <c r="J38" s="10">
        <f>IFERROR(C38/E38,0)</f>
        <v>-0.35000000000000009</v>
      </c>
      <c r="K38" s="10">
        <f>IFERROR(D38/E38,0)</f>
        <v>-7.0000000000000062E-2</v>
      </c>
      <c r="L38" s="10" t="str">
        <f>LEFT(B38,3)</f>
        <v>PEG</v>
      </c>
      <c r="M38">
        <v>32</v>
      </c>
      <c r="N38" s="7">
        <f>M38-A38</f>
        <v>-5</v>
      </c>
      <c r="P38">
        <f t="shared" si="1"/>
        <v>-1.4000000000000004</v>
      </c>
      <c r="Q38">
        <f t="shared" si="7"/>
        <v>-0.28000000000000025</v>
      </c>
      <c r="R38">
        <f t="shared" si="8"/>
        <v>4</v>
      </c>
      <c r="S38">
        <f t="shared" si="9"/>
        <v>2</v>
      </c>
      <c r="T38">
        <f t="shared" si="10"/>
        <v>0</v>
      </c>
      <c r="U38">
        <f t="shared" si="11"/>
        <v>2</v>
      </c>
    </row>
    <row r="39" spans="1:21" x14ac:dyDescent="0.25">
      <c r="A39">
        <v>38</v>
      </c>
      <c r="B39" s="4" t="s">
        <v>80</v>
      </c>
      <c r="C39">
        <v>-1.6</v>
      </c>
      <c r="D39">
        <v>-0.32</v>
      </c>
      <c r="E39">
        <v>1</v>
      </c>
      <c r="F39">
        <v>0</v>
      </c>
      <c r="G39">
        <v>0</v>
      </c>
      <c r="H39">
        <v>1</v>
      </c>
      <c r="I39" s="7">
        <f>IFERROR((F39/E39)*100,0)</f>
        <v>0</v>
      </c>
      <c r="J39" s="10">
        <f>IFERROR(C39/E39,0)</f>
        <v>-1.6</v>
      </c>
      <c r="K39" s="10">
        <f>IFERROR(D39/E39,0)</f>
        <v>-0.32</v>
      </c>
      <c r="L39" s="10" t="str">
        <f>LEFT(B39,3)</f>
        <v>LEG</v>
      </c>
      <c r="M39">
        <v>33</v>
      </c>
      <c r="N39" s="7">
        <f>M39-A39</f>
        <v>-5</v>
      </c>
      <c r="P39">
        <f t="shared" si="1"/>
        <v>-1.6</v>
      </c>
      <c r="Q39">
        <f t="shared" si="7"/>
        <v>-0.32</v>
      </c>
      <c r="R39">
        <f t="shared" si="8"/>
        <v>1</v>
      </c>
      <c r="S39">
        <f t="shared" si="9"/>
        <v>0</v>
      </c>
      <c r="T39">
        <f t="shared" si="10"/>
        <v>0</v>
      </c>
      <c r="U39">
        <f t="shared" si="11"/>
        <v>1</v>
      </c>
    </row>
    <row r="40" spans="1:21" x14ac:dyDescent="0.25">
      <c r="A40">
        <v>39</v>
      </c>
      <c r="B40" t="s">
        <v>161</v>
      </c>
      <c r="C40">
        <v>-2.5</v>
      </c>
      <c r="D40">
        <v>-0.5</v>
      </c>
      <c r="E40">
        <v>1</v>
      </c>
      <c r="F40">
        <v>0</v>
      </c>
      <c r="G40">
        <v>0</v>
      </c>
      <c r="H40">
        <v>1</v>
      </c>
      <c r="I40" s="7">
        <f>IFERROR((F40/E40)*100,0)</f>
        <v>0</v>
      </c>
      <c r="J40" s="10">
        <f>IFERROR(C40/E40,0)</f>
        <v>-2.5</v>
      </c>
      <c r="K40" s="10">
        <f>IFERROR(D40/E40,0)</f>
        <v>-0.5</v>
      </c>
      <c r="L40" s="10" t="str">
        <f>LEFT(B40,3)</f>
        <v>UEG</v>
      </c>
      <c r="M40">
        <v>76</v>
      </c>
      <c r="N40" s="7">
        <f>M40-A40</f>
        <v>37</v>
      </c>
      <c r="P40">
        <f t="shared" si="1"/>
        <v>-2.5</v>
      </c>
      <c r="Q40">
        <f t="shared" si="7"/>
        <v>-0.5</v>
      </c>
      <c r="R40">
        <f t="shared" si="8"/>
        <v>1</v>
      </c>
      <c r="S40">
        <f t="shared" si="9"/>
        <v>0</v>
      </c>
      <c r="T40">
        <f t="shared" si="10"/>
        <v>0</v>
      </c>
      <c r="U40">
        <f t="shared" si="11"/>
        <v>1</v>
      </c>
    </row>
    <row r="41" spans="1:21" x14ac:dyDescent="0.25">
      <c r="A41">
        <v>40</v>
      </c>
      <c r="B41" t="s">
        <v>67</v>
      </c>
      <c r="C41">
        <v>-2.9000000000000004</v>
      </c>
      <c r="D41">
        <v>-0.58000000000000007</v>
      </c>
      <c r="E41">
        <v>5</v>
      </c>
      <c r="F41">
        <v>3</v>
      </c>
      <c r="G41">
        <v>0</v>
      </c>
      <c r="H41">
        <v>2</v>
      </c>
      <c r="I41" s="7">
        <f>IFERROR((F41/E41)*100,0)</f>
        <v>60</v>
      </c>
      <c r="J41" s="10">
        <f>IFERROR(C41/E41,0)</f>
        <v>-0.58000000000000007</v>
      </c>
      <c r="K41" s="10">
        <f>IFERROR(D41/E41,0)</f>
        <v>-0.11600000000000002</v>
      </c>
      <c r="L41" s="10" t="str">
        <f>LEFT(B41,3)</f>
        <v>UEG</v>
      </c>
      <c r="M41">
        <v>34</v>
      </c>
      <c r="N41" s="7">
        <f>M41-A41</f>
        <v>-6</v>
      </c>
      <c r="P41">
        <f t="shared" si="1"/>
        <v>-2.9000000000000004</v>
      </c>
      <c r="Q41">
        <f t="shared" si="7"/>
        <v>-0.58000000000000007</v>
      </c>
      <c r="R41">
        <f t="shared" si="8"/>
        <v>5</v>
      </c>
      <c r="S41">
        <f t="shared" si="9"/>
        <v>3</v>
      </c>
      <c r="T41">
        <f t="shared" si="10"/>
        <v>0</v>
      </c>
      <c r="U41">
        <f t="shared" si="11"/>
        <v>2</v>
      </c>
    </row>
    <row r="42" spans="1:21" x14ac:dyDescent="0.25">
      <c r="A42">
        <v>41</v>
      </c>
      <c r="B42" t="s">
        <v>85</v>
      </c>
      <c r="C42">
        <v>-3.0999999999999996</v>
      </c>
      <c r="D42">
        <v>-0.61999999999999988</v>
      </c>
      <c r="E42">
        <v>4</v>
      </c>
      <c r="F42">
        <v>1</v>
      </c>
      <c r="G42">
        <v>0</v>
      </c>
      <c r="H42">
        <v>3</v>
      </c>
      <c r="I42" s="7">
        <f>IFERROR((F42/E42)*100,0)</f>
        <v>25</v>
      </c>
      <c r="J42" s="10">
        <f>IFERROR(C42/E42,0)</f>
        <v>-0.77499999999999991</v>
      </c>
      <c r="K42" s="10">
        <f>IFERROR(D42/E42,0)</f>
        <v>-0.15499999999999997</v>
      </c>
      <c r="L42" s="10" t="str">
        <f>LEFT(B42,3)</f>
        <v>UEG</v>
      </c>
      <c r="M42">
        <v>35</v>
      </c>
      <c r="N42" s="7">
        <f>M42-A42</f>
        <v>-6</v>
      </c>
      <c r="P42">
        <f t="shared" si="1"/>
        <v>-3.0999999999999996</v>
      </c>
      <c r="Q42">
        <f t="shared" si="7"/>
        <v>-0.61999999999999988</v>
      </c>
      <c r="R42">
        <f t="shared" si="8"/>
        <v>4</v>
      </c>
      <c r="S42">
        <f t="shared" si="9"/>
        <v>1</v>
      </c>
      <c r="T42">
        <f t="shared" si="10"/>
        <v>0</v>
      </c>
      <c r="U42">
        <f t="shared" si="11"/>
        <v>3</v>
      </c>
    </row>
    <row r="43" spans="1:21" x14ac:dyDescent="0.25">
      <c r="A43">
        <v>42</v>
      </c>
      <c r="B43" s="8" t="s">
        <v>131</v>
      </c>
      <c r="C43">
        <v>-3.3</v>
      </c>
      <c r="D43">
        <v>-0.6599999999999997</v>
      </c>
      <c r="E43">
        <v>13</v>
      </c>
      <c r="F43">
        <v>6</v>
      </c>
      <c r="G43">
        <v>0</v>
      </c>
      <c r="H43">
        <v>7</v>
      </c>
      <c r="I43" s="7">
        <f>IFERROR((F43/E43)*100,0)</f>
        <v>46.153846153846153</v>
      </c>
      <c r="J43" s="10">
        <f>IFERROR(C43/E43,0)</f>
        <v>-0.25384615384615383</v>
      </c>
      <c r="K43" s="10">
        <f>IFERROR(D43/E43,0)</f>
        <v>-5.0769230769230747E-2</v>
      </c>
      <c r="L43" s="10" t="str">
        <f>LEFT(B43,3)</f>
        <v>UEG</v>
      </c>
      <c r="M43">
        <v>36</v>
      </c>
      <c r="N43" s="7">
        <f>M43-A43</f>
        <v>-6</v>
      </c>
      <c r="P43">
        <f t="shared" si="1"/>
        <v>-3.3</v>
      </c>
      <c r="Q43">
        <f t="shared" si="7"/>
        <v>-0.6599999999999997</v>
      </c>
      <c r="R43">
        <f t="shared" si="8"/>
        <v>13</v>
      </c>
      <c r="S43">
        <f t="shared" si="9"/>
        <v>6</v>
      </c>
      <c r="T43">
        <f t="shared" si="10"/>
        <v>0</v>
      </c>
      <c r="U43">
        <f t="shared" si="11"/>
        <v>7</v>
      </c>
    </row>
    <row r="44" spans="1:21" x14ac:dyDescent="0.25">
      <c r="A44">
        <v>43</v>
      </c>
      <c r="B44" t="s">
        <v>71</v>
      </c>
      <c r="C44">
        <v>-3.4999999999999996</v>
      </c>
      <c r="D44">
        <v>-0.70000000000000018</v>
      </c>
      <c r="E44">
        <v>9</v>
      </c>
      <c r="F44">
        <v>5</v>
      </c>
      <c r="G44">
        <v>0</v>
      </c>
      <c r="H44">
        <v>4</v>
      </c>
      <c r="I44" s="7">
        <f>IFERROR((F44/E44)*100,0)</f>
        <v>55.555555555555557</v>
      </c>
      <c r="J44" s="10">
        <f>IFERROR(C44/E44,0)</f>
        <v>-0.38888888888888884</v>
      </c>
      <c r="K44" s="10">
        <f>IFERROR(D44/E44,0)</f>
        <v>-7.7777777777777793E-2</v>
      </c>
      <c r="L44" s="10" t="str">
        <f>LEFT(B44,3)</f>
        <v>SEG</v>
      </c>
      <c r="M44">
        <v>37</v>
      </c>
      <c r="N44" s="7">
        <f>M44-A44</f>
        <v>-6</v>
      </c>
      <c r="P44">
        <f t="shared" si="1"/>
        <v>-3.4999999999999996</v>
      </c>
      <c r="Q44">
        <f t="shared" si="7"/>
        <v>-0.70000000000000018</v>
      </c>
      <c r="R44">
        <f t="shared" si="8"/>
        <v>9</v>
      </c>
      <c r="S44">
        <f t="shared" si="9"/>
        <v>5</v>
      </c>
      <c r="T44">
        <f t="shared" si="10"/>
        <v>0</v>
      </c>
      <c r="U44">
        <f t="shared" si="11"/>
        <v>4</v>
      </c>
    </row>
    <row r="45" spans="1:21" x14ac:dyDescent="0.25">
      <c r="A45">
        <v>44</v>
      </c>
      <c r="B45" s="8" t="s">
        <v>145</v>
      </c>
      <c r="C45">
        <v>-4</v>
      </c>
      <c r="D45">
        <v>-0.79999999999999993</v>
      </c>
      <c r="E45">
        <v>2</v>
      </c>
      <c r="F45">
        <v>1</v>
      </c>
      <c r="G45">
        <v>0</v>
      </c>
      <c r="H45">
        <v>1</v>
      </c>
      <c r="I45" s="7">
        <f>IFERROR((F45/E45)*100,0)</f>
        <v>50</v>
      </c>
      <c r="J45" s="10">
        <f>IFERROR(C45/E45,0)</f>
        <v>-2</v>
      </c>
      <c r="K45" s="10">
        <f>IFERROR(D45/E45,0)</f>
        <v>-0.39999999999999997</v>
      </c>
      <c r="L45" s="10" t="str">
        <f>LEFT(B45,3)</f>
        <v>WEG</v>
      </c>
      <c r="M45">
        <v>38</v>
      </c>
      <c r="N45" s="7">
        <f>M45-A45</f>
        <v>-6</v>
      </c>
      <c r="P45">
        <f t="shared" si="1"/>
        <v>-4</v>
      </c>
      <c r="Q45">
        <f t="shared" si="7"/>
        <v>-0.79999999999999993</v>
      </c>
      <c r="R45">
        <f t="shared" si="8"/>
        <v>2</v>
      </c>
      <c r="S45">
        <f t="shared" si="9"/>
        <v>1</v>
      </c>
      <c r="T45">
        <f t="shared" si="10"/>
        <v>0</v>
      </c>
      <c r="U45">
        <f t="shared" si="11"/>
        <v>1</v>
      </c>
    </row>
    <row r="46" spans="1:21" x14ac:dyDescent="0.25">
      <c r="A46">
        <v>45</v>
      </c>
      <c r="B46" s="4" t="s">
        <v>96</v>
      </c>
      <c r="C46">
        <v>-4.4000000000000004</v>
      </c>
      <c r="D46">
        <v>-0.88</v>
      </c>
      <c r="E46">
        <v>6</v>
      </c>
      <c r="F46">
        <v>2</v>
      </c>
      <c r="G46">
        <v>0</v>
      </c>
      <c r="H46">
        <v>4</v>
      </c>
      <c r="I46" s="7">
        <f>IFERROR((F46/E46)*100,0)</f>
        <v>33.333333333333329</v>
      </c>
      <c r="J46" s="10">
        <f>IFERROR(C46/E46,0)</f>
        <v>-0.73333333333333339</v>
      </c>
      <c r="K46" s="10">
        <f>IFERROR(D46/E46,0)</f>
        <v>-0.14666666666666667</v>
      </c>
      <c r="L46" s="10" t="str">
        <f>LEFT(B46,3)</f>
        <v>LEG</v>
      </c>
      <c r="M46">
        <v>39</v>
      </c>
      <c r="N46" s="7">
        <f>M46-A46</f>
        <v>-6</v>
      </c>
      <c r="P46">
        <f t="shared" si="1"/>
        <v>-4.4000000000000004</v>
      </c>
      <c r="Q46">
        <f t="shared" si="7"/>
        <v>-0.88</v>
      </c>
      <c r="R46">
        <f t="shared" si="8"/>
        <v>6</v>
      </c>
      <c r="S46">
        <f t="shared" si="9"/>
        <v>2</v>
      </c>
      <c r="T46">
        <f t="shared" si="10"/>
        <v>0</v>
      </c>
      <c r="U46">
        <f t="shared" si="11"/>
        <v>4</v>
      </c>
    </row>
    <row r="47" spans="1:21" x14ac:dyDescent="0.25">
      <c r="A47">
        <v>46</v>
      </c>
      <c r="B47" s="8" t="s">
        <v>86</v>
      </c>
      <c r="C47">
        <v>-4.7</v>
      </c>
      <c r="D47">
        <v>-0.94000000000000006</v>
      </c>
      <c r="E47">
        <v>5</v>
      </c>
      <c r="F47">
        <v>1</v>
      </c>
      <c r="G47">
        <v>0</v>
      </c>
      <c r="H47">
        <v>4</v>
      </c>
      <c r="I47" s="7">
        <f>IFERROR((F47/E47)*100,0)</f>
        <v>20</v>
      </c>
      <c r="J47" s="10">
        <f>IFERROR(C47/E47,0)</f>
        <v>-0.94000000000000006</v>
      </c>
      <c r="K47" s="10">
        <f>IFERROR(D47/E47,0)</f>
        <v>-0.188</v>
      </c>
      <c r="L47" s="10" t="str">
        <f>LEFT(B47,3)</f>
        <v>UEG</v>
      </c>
      <c r="M47">
        <v>40</v>
      </c>
      <c r="N47" s="7">
        <f>M47-A47</f>
        <v>-6</v>
      </c>
      <c r="P47">
        <f t="shared" si="1"/>
        <v>-4.7</v>
      </c>
      <c r="Q47">
        <f t="shared" si="7"/>
        <v>-0.94000000000000006</v>
      </c>
      <c r="R47">
        <f t="shared" si="8"/>
        <v>5</v>
      </c>
      <c r="S47">
        <f t="shared" si="9"/>
        <v>1</v>
      </c>
      <c r="T47">
        <f t="shared" si="10"/>
        <v>0</v>
      </c>
      <c r="U47">
        <f t="shared" si="11"/>
        <v>4</v>
      </c>
    </row>
    <row r="48" spans="1:21" x14ac:dyDescent="0.25">
      <c r="A48">
        <v>47</v>
      </c>
      <c r="B48" s="8" t="s">
        <v>141</v>
      </c>
      <c r="C48">
        <v>-4.9999999999999991</v>
      </c>
      <c r="D48">
        <v>-0.99999999999999989</v>
      </c>
      <c r="E48">
        <v>3</v>
      </c>
      <c r="F48">
        <v>1</v>
      </c>
      <c r="G48">
        <v>0</v>
      </c>
      <c r="H48">
        <v>2</v>
      </c>
      <c r="I48" s="7">
        <f>IFERROR((F48/E48)*100,0)</f>
        <v>33.333333333333329</v>
      </c>
      <c r="J48" s="10">
        <f>IFERROR(C48/E48,0)</f>
        <v>-1.6666666666666663</v>
      </c>
      <c r="K48" s="10">
        <f>IFERROR(D48/E48,0)</f>
        <v>-0.33333333333333331</v>
      </c>
      <c r="L48" s="10" t="str">
        <f>LEFT(B48,3)</f>
        <v>PEG</v>
      </c>
      <c r="M48">
        <v>41</v>
      </c>
      <c r="N48" s="7">
        <f>M48-A48</f>
        <v>-6</v>
      </c>
      <c r="P48">
        <f t="shared" si="1"/>
        <v>-4.9999999999999991</v>
      </c>
      <c r="Q48">
        <f t="shared" si="7"/>
        <v>-0.99999999999999989</v>
      </c>
      <c r="R48">
        <f t="shared" si="8"/>
        <v>3</v>
      </c>
      <c r="S48">
        <f t="shared" si="9"/>
        <v>1</v>
      </c>
      <c r="T48">
        <f t="shared" ref="T48:T53" si="12">G48+AA48</f>
        <v>0</v>
      </c>
      <c r="U48">
        <f t="shared" ref="U48:U53" si="13">H48+AB48</f>
        <v>2</v>
      </c>
    </row>
    <row r="49" spans="1:21" x14ac:dyDescent="0.25">
      <c r="A49">
        <v>48</v>
      </c>
      <c r="B49" t="s">
        <v>162</v>
      </c>
      <c r="C49">
        <v>-5.5</v>
      </c>
      <c r="D49">
        <v>-1.0999999999999999</v>
      </c>
      <c r="E49">
        <v>1</v>
      </c>
      <c r="F49">
        <v>0</v>
      </c>
      <c r="G49">
        <v>0</v>
      </c>
      <c r="H49">
        <v>1</v>
      </c>
      <c r="I49" s="7">
        <f>IFERROR((F49/E49)*100,0)</f>
        <v>0</v>
      </c>
      <c r="J49" s="10">
        <f>IFERROR(C49/E49,0)</f>
        <v>-5.5</v>
      </c>
      <c r="K49" s="10">
        <f>IFERROR(D49/E49,0)</f>
        <v>-1.0999999999999999</v>
      </c>
      <c r="L49" s="10" t="str">
        <f>LEFT(B49,3)</f>
        <v>PEG</v>
      </c>
      <c r="M49">
        <v>77</v>
      </c>
      <c r="N49" s="7">
        <f>M49-A49</f>
        <v>29</v>
      </c>
      <c r="P49">
        <f t="shared" si="1"/>
        <v>-5.5</v>
      </c>
      <c r="Q49">
        <f t="shared" si="7"/>
        <v>-1.0999999999999999</v>
      </c>
      <c r="R49">
        <f t="shared" si="8"/>
        <v>1</v>
      </c>
      <c r="S49">
        <f t="shared" si="9"/>
        <v>0</v>
      </c>
      <c r="T49">
        <f t="shared" si="12"/>
        <v>0</v>
      </c>
      <c r="U49">
        <f t="shared" si="13"/>
        <v>1</v>
      </c>
    </row>
    <row r="50" spans="1:21" x14ac:dyDescent="0.25">
      <c r="A50">
        <v>49</v>
      </c>
      <c r="B50" s="8" t="s">
        <v>69</v>
      </c>
      <c r="C50">
        <v>-6</v>
      </c>
      <c r="D50">
        <v>-1.2</v>
      </c>
      <c r="E50">
        <v>1</v>
      </c>
      <c r="F50">
        <v>0</v>
      </c>
      <c r="G50">
        <v>0</v>
      </c>
      <c r="H50">
        <v>1</v>
      </c>
      <c r="I50" s="7">
        <f>IFERROR((F50/E50)*100,0)</f>
        <v>0</v>
      </c>
      <c r="J50" s="10">
        <f>IFERROR(C50/E50,0)</f>
        <v>-6</v>
      </c>
      <c r="K50" s="10">
        <f>IFERROR(D50/E50,0)</f>
        <v>-1.2</v>
      </c>
      <c r="L50" s="10" t="str">
        <f>LEFT(B50,3)</f>
        <v>LEG</v>
      </c>
      <c r="M50">
        <v>43</v>
      </c>
      <c r="N50" s="7">
        <f>M50-A50</f>
        <v>-6</v>
      </c>
      <c r="P50">
        <f t="shared" si="1"/>
        <v>-6</v>
      </c>
      <c r="Q50">
        <f t="shared" si="7"/>
        <v>-1.2</v>
      </c>
      <c r="R50">
        <f t="shared" si="8"/>
        <v>1</v>
      </c>
      <c r="S50">
        <f t="shared" si="9"/>
        <v>0</v>
      </c>
      <c r="T50">
        <f t="shared" si="12"/>
        <v>0</v>
      </c>
      <c r="U50">
        <f t="shared" si="13"/>
        <v>1</v>
      </c>
    </row>
    <row r="51" spans="1:21" x14ac:dyDescent="0.25">
      <c r="A51">
        <v>50</v>
      </c>
      <c r="B51" t="s">
        <v>88</v>
      </c>
      <c r="C51">
        <v>-6.2</v>
      </c>
      <c r="D51">
        <v>-1.24</v>
      </c>
      <c r="E51">
        <v>5</v>
      </c>
      <c r="F51">
        <v>3</v>
      </c>
      <c r="G51">
        <v>1</v>
      </c>
      <c r="H51">
        <v>1</v>
      </c>
      <c r="I51" s="7">
        <f>IFERROR((F51/E51)*100,0)</f>
        <v>60</v>
      </c>
      <c r="J51" s="10">
        <f>IFERROR(C51/E51,0)</f>
        <v>-1.24</v>
      </c>
      <c r="K51" s="10">
        <f>IFERROR(D51/E51,0)</f>
        <v>-0.248</v>
      </c>
      <c r="L51" s="10" t="str">
        <f>LEFT(B51,3)</f>
        <v>PEG</v>
      </c>
      <c r="M51">
        <v>44</v>
      </c>
      <c r="N51" s="7">
        <f>M51-A51</f>
        <v>-6</v>
      </c>
      <c r="P51">
        <f t="shared" si="1"/>
        <v>-6.2</v>
      </c>
      <c r="Q51">
        <f t="shared" si="7"/>
        <v>-1.24</v>
      </c>
      <c r="R51">
        <f t="shared" si="8"/>
        <v>5</v>
      </c>
      <c r="S51">
        <f t="shared" si="9"/>
        <v>3</v>
      </c>
      <c r="T51">
        <f t="shared" si="12"/>
        <v>1</v>
      </c>
      <c r="U51">
        <f t="shared" si="13"/>
        <v>1</v>
      </c>
    </row>
    <row r="52" spans="1:21" x14ac:dyDescent="0.25">
      <c r="A52">
        <v>51</v>
      </c>
      <c r="B52" s="8" t="s">
        <v>142</v>
      </c>
      <c r="C52">
        <v>-7.2999999999999989</v>
      </c>
      <c r="D52">
        <v>-1.4599999999999997</v>
      </c>
      <c r="E52">
        <v>10</v>
      </c>
      <c r="F52">
        <v>7</v>
      </c>
      <c r="G52">
        <v>0</v>
      </c>
      <c r="H52">
        <v>3</v>
      </c>
      <c r="I52" s="7">
        <f>IFERROR((F52/E52)*100,0)</f>
        <v>70</v>
      </c>
      <c r="J52" s="10">
        <f>IFERROR(C52/E52,0)</f>
        <v>-0.72999999999999987</v>
      </c>
      <c r="K52" s="10">
        <f>IFERROR(D52/E52,0)</f>
        <v>-0.14599999999999996</v>
      </c>
      <c r="L52" s="10" t="str">
        <f>LEFT(B52,3)</f>
        <v>PEG</v>
      </c>
      <c r="M52">
        <v>51</v>
      </c>
      <c r="N52" s="7">
        <f>M52-A52</f>
        <v>0</v>
      </c>
      <c r="P52">
        <f t="shared" si="1"/>
        <v>-7.2999999999999989</v>
      </c>
      <c r="Q52">
        <f t="shared" si="7"/>
        <v>-1.4599999999999997</v>
      </c>
      <c r="R52">
        <f t="shared" si="8"/>
        <v>10</v>
      </c>
      <c r="S52">
        <f t="shared" si="9"/>
        <v>7</v>
      </c>
      <c r="T52">
        <f t="shared" si="12"/>
        <v>0</v>
      </c>
      <c r="U52">
        <f t="shared" si="13"/>
        <v>3</v>
      </c>
    </row>
    <row r="53" spans="1:21" x14ac:dyDescent="0.25">
      <c r="A53">
        <v>52</v>
      </c>
      <c r="B53" s="8" t="s">
        <v>143</v>
      </c>
      <c r="C53">
        <v>-7.4999999999999991</v>
      </c>
      <c r="D53">
        <v>-1.4999999999999998</v>
      </c>
      <c r="E53">
        <v>8</v>
      </c>
      <c r="F53">
        <v>4</v>
      </c>
      <c r="G53">
        <v>0</v>
      </c>
      <c r="H53">
        <v>4</v>
      </c>
      <c r="I53" s="7">
        <f>IFERROR((F53/E53)*100,0)</f>
        <v>50</v>
      </c>
      <c r="J53" s="10">
        <f>IFERROR(C53/E53,0)</f>
        <v>-0.93749999999999989</v>
      </c>
      <c r="K53" s="10">
        <f>IFERROR(D53/E53,0)</f>
        <v>-0.18749999999999997</v>
      </c>
      <c r="L53" s="10" t="str">
        <f>LEFT(B53,3)</f>
        <v>PEG</v>
      </c>
      <c r="M53">
        <v>45</v>
      </c>
      <c r="N53" s="7">
        <f>M53-A53</f>
        <v>-7</v>
      </c>
      <c r="P53">
        <f t="shared" si="1"/>
        <v>-7.4999999999999991</v>
      </c>
      <c r="Q53">
        <f t="shared" si="7"/>
        <v>-1.4999999999999998</v>
      </c>
      <c r="R53">
        <f t="shared" si="8"/>
        <v>8</v>
      </c>
      <c r="S53">
        <f t="shared" si="9"/>
        <v>4</v>
      </c>
      <c r="T53">
        <f t="shared" si="12"/>
        <v>0</v>
      </c>
      <c r="U53">
        <f t="shared" si="13"/>
        <v>4</v>
      </c>
    </row>
    <row r="54" spans="1:21" x14ac:dyDescent="0.25">
      <c r="A54">
        <v>53</v>
      </c>
      <c r="B54" t="s">
        <v>73</v>
      </c>
      <c r="C54">
        <v>-7.5</v>
      </c>
      <c r="D54">
        <v>-1.5</v>
      </c>
      <c r="E54">
        <v>5</v>
      </c>
      <c r="F54">
        <v>2</v>
      </c>
      <c r="G54">
        <v>0</v>
      </c>
      <c r="H54">
        <v>3</v>
      </c>
      <c r="I54" s="7">
        <f>IFERROR((F54/E54)*100,0)</f>
        <v>40</v>
      </c>
      <c r="J54" s="10">
        <f>IFERROR(C54/E54,0)</f>
        <v>-1.5</v>
      </c>
      <c r="K54" s="10">
        <f>IFERROR(D54/E54,0)</f>
        <v>-0.3</v>
      </c>
      <c r="L54" s="10" t="str">
        <f>LEFT(B54,3)</f>
        <v>PEG</v>
      </c>
      <c r="M54">
        <v>46</v>
      </c>
      <c r="N54" s="7">
        <f>M54-A54</f>
        <v>-7</v>
      </c>
      <c r="P54">
        <f t="shared" ref="P54:P55" si="14">C54+W54</f>
        <v>-7.5</v>
      </c>
      <c r="Q54">
        <f t="shared" ref="Q54:Q55" si="15">D54+X54</f>
        <v>-1.5</v>
      </c>
      <c r="R54">
        <f t="shared" ref="R54:R55" si="16">E54+Y54</f>
        <v>5</v>
      </c>
      <c r="S54">
        <f t="shared" ref="S54:S55" si="17">F54+Z54</f>
        <v>2</v>
      </c>
      <c r="T54">
        <f t="shared" ref="T54:T55" si="18">G54+AA54</f>
        <v>0</v>
      </c>
      <c r="U54">
        <f t="shared" ref="U54:U55" si="19">H54+AB54</f>
        <v>3</v>
      </c>
    </row>
    <row r="55" spans="1:21" x14ac:dyDescent="0.25">
      <c r="A55">
        <v>54</v>
      </c>
      <c r="B55" s="8" t="s">
        <v>82</v>
      </c>
      <c r="C55">
        <v>-7.5000000000000009</v>
      </c>
      <c r="D55">
        <v>-1.5</v>
      </c>
      <c r="E55">
        <v>6</v>
      </c>
      <c r="F55">
        <v>3</v>
      </c>
      <c r="G55">
        <v>0</v>
      </c>
      <c r="H55">
        <v>3</v>
      </c>
      <c r="I55" s="7">
        <f>IFERROR((F55/E55)*100,0)</f>
        <v>50</v>
      </c>
      <c r="J55" s="10">
        <f>IFERROR(C55/E55,0)</f>
        <v>-1.2500000000000002</v>
      </c>
      <c r="K55" s="10">
        <f>IFERROR(D55/E55,0)</f>
        <v>-0.25</v>
      </c>
      <c r="L55" s="10" t="str">
        <f>LEFT(B55,3)</f>
        <v>WEG</v>
      </c>
      <c r="M55">
        <v>47</v>
      </c>
      <c r="N55" s="7">
        <f>M55-A55</f>
        <v>-7</v>
      </c>
      <c r="P55">
        <f t="shared" si="14"/>
        <v>-7.5000000000000009</v>
      </c>
      <c r="Q55">
        <f t="shared" si="15"/>
        <v>-1.5</v>
      </c>
      <c r="R55">
        <f t="shared" si="16"/>
        <v>6</v>
      </c>
      <c r="S55">
        <f t="shared" si="17"/>
        <v>3</v>
      </c>
      <c r="T55">
        <f t="shared" si="18"/>
        <v>0</v>
      </c>
      <c r="U55">
        <f t="shared" si="19"/>
        <v>3</v>
      </c>
    </row>
    <row r="56" spans="1:21" x14ac:dyDescent="0.25">
      <c r="A56">
        <v>55</v>
      </c>
      <c r="B56" t="s">
        <v>70</v>
      </c>
      <c r="C56">
        <v>-7.6999999999999975</v>
      </c>
      <c r="D56">
        <v>-1.5399999999999998</v>
      </c>
      <c r="E56">
        <v>14</v>
      </c>
      <c r="F56">
        <v>5</v>
      </c>
      <c r="G56">
        <v>0</v>
      </c>
      <c r="H56">
        <v>9</v>
      </c>
      <c r="I56" s="7">
        <f>IFERROR((F56/E56)*100,0)</f>
        <v>35.714285714285715</v>
      </c>
      <c r="J56" s="10">
        <f>IFERROR(C56/E56,0)</f>
        <v>-0.54999999999999982</v>
      </c>
      <c r="K56" s="10">
        <f>IFERROR(D56/E56,0)</f>
        <v>-0.10999999999999999</v>
      </c>
      <c r="L56" s="10" t="str">
        <f>LEFT(B56,3)</f>
        <v>UEG</v>
      </c>
      <c r="M56">
        <v>48</v>
      </c>
      <c r="N56" s="7">
        <f>M56-A56</f>
        <v>-7</v>
      </c>
      <c r="P56">
        <f t="shared" ref="P56:P60" si="20">C56+W56</f>
        <v>-7.6999999999999975</v>
      </c>
      <c r="Q56">
        <f t="shared" ref="Q56:Q60" si="21">D56+X56</f>
        <v>-1.5399999999999998</v>
      </c>
      <c r="R56">
        <f t="shared" ref="R56:R60" si="22">E56+Y56</f>
        <v>14</v>
      </c>
      <c r="S56">
        <f t="shared" ref="S56:S60" si="23">F56+Z56</f>
        <v>5</v>
      </c>
      <c r="T56">
        <f t="shared" ref="T56:T60" si="24">G56+AA56</f>
        <v>0</v>
      </c>
      <c r="U56">
        <f t="shared" ref="U56:U60" si="25">H56+AB56</f>
        <v>9</v>
      </c>
    </row>
    <row r="57" spans="1:21" x14ac:dyDescent="0.25">
      <c r="A57">
        <v>56</v>
      </c>
      <c r="B57" s="6" t="s">
        <v>151</v>
      </c>
      <c r="C57">
        <v>-8.5</v>
      </c>
      <c r="D57">
        <v>-1.6999999999999997</v>
      </c>
      <c r="E57">
        <v>3</v>
      </c>
      <c r="F57">
        <v>1</v>
      </c>
      <c r="G57">
        <v>0</v>
      </c>
      <c r="H57">
        <v>2</v>
      </c>
      <c r="I57" s="7">
        <f>IFERROR((F57/E57)*100,0)</f>
        <v>33.333333333333329</v>
      </c>
      <c r="J57" s="10">
        <f>IFERROR(C57/E57,0)</f>
        <v>-2.8333333333333335</v>
      </c>
      <c r="K57" s="10">
        <f>IFERROR(D57/E57,0)</f>
        <v>-0.56666666666666654</v>
      </c>
      <c r="L57" s="10" t="str">
        <f>LEFT(B57,3)</f>
        <v>PEG</v>
      </c>
      <c r="M57">
        <v>49</v>
      </c>
      <c r="N57" s="7">
        <f>M57-A57</f>
        <v>-7</v>
      </c>
      <c r="P57">
        <f t="shared" si="20"/>
        <v>-8.5</v>
      </c>
      <c r="Q57">
        <f t="shared" si="21"/>
        <v>-1.6999999999999997</v>
      </c>
      <c r="R57">
        <f t="shared" si="22"/>
        <v>3</v>
      </c>
      <c r="S57">
        <f t="shared" si="23"/>
        <v>1</v>
      </c>
      <c r="T57">
        <f t="shared" si="24"/>
        <v>0</v>
      </c>
      <c r="U57">
        <f t="shared" si="25"/>
        <v>2</v>
      </c>
    </row>
    <row r="58" spans="1:21" x14ac:dyDescent="0.25">
      <c r="A58">
        <v>57</v>
      </c>
      <c r="B58" t="s">
        <v>135</v>
      </c>
      <c r="C58">
        <v>-8.6</v>
      </c>
      <c r="D58">
        <v>-1.7199999999999998</v>
      </c>
      <c r="E58">
        <v>5</v>
      </c>
      <c r="F58">
        <v>2</v>
      </c>
      <c r="G58">
        <v>0</v>
      </c>
      <c r="H58">
        <v>3</v>
      </c>
      <c r="I58" s="7">
        <f>IFERROR((F58/E58)*100,0)</f>
        <v>40</v>
      </c>
      <c r="J58" s="10">
        <f>IFERROR(C58/E58,0)</f>
        <v>-1.72</v>
      </c>
      <c r="K58" s="10">
        <f>IFERROR(D58/E58,0)</f>
        <v>-0.34399999999999997</v>
      </c>
      <c r="L58" s="10" t="str">
        <f>LEFT(B58,3)</f>
        <v>UEG</v>
      </c>
      <c r="M58">
        <v>50</v>
      </c>
      <c r="N58" s="7">
        <f>M58-A58</f>
        <v>-7</v>
      </c>
      <c r="P58">
        <f t="shared" si="20"/>
        <v>-8.6</v>
      </c>
      <c r="Q58">
        <f t="shared" si="21"/>
        <v>-1.7199999999999998</v>
      </c>
      <c r="R58">
        <f t="shared" si="22"/>
        <v>5</v>
      </c>
      <c r="S58">
        <f t="shared" si="23"/>
        <v>2</v>
      </c>
      <c r="T58">
        <f t="shared" si="24"/>
        <v>0</v>
      </c>
      <c r="U58">
        <f t="shared" si="25"/>
        <v>3</v>
      </c>
    </row>
    <row r="59" spans="1:21" x14ac:dyDescent="0.25">
      <c r="A59">
        <v>58</v>
      </c>
      <c r="B59" t="s">
        <v>91</v>
      </c>
      <c r="C59">
        <v>-9.1</v>
      </c>
      <c r="D59">
        <v>-1.82</v>
      </c>
      <c r="E59">
        <v>5</v>
      </c>
      <c r="F59">
        <v>1</v>
      </c>
      <c r="G59">
        <v>0</v>
      </c>
      <c r="H59">
        <v>4</v>
      </c>
      <c r="I59" s="7">
        <f>IFERROR((F59/E59)*100,0)</f>
        <v>20</v>
      </c>
      <c r="J59" s="10">
        <f>IFERROR(C59/E59,0)</f>
        <v>-1.8199999999999998</v>
      </c>
      <c r="K59" s="10">
        <f>IFERROR(D59/E59,0)</f>
        <v>-0.36399999999999999</v>
      </c>
      <c r="L59" s="10" t="str">
        <f>LEFT(B59,3)</f>
        <v>PEG</v>
      </c>
      <c r="M59">
        <v>52</v>
      </c>
      <c r="N59" s="7">
        <f>M59-A59</f>
        <v>-6</v>
      </c>
      <c r="P59">
        <f t="shared" si="20"/>
        <v>-9.1</v>
      </c>
      <c r="Q59">
        <f t="shared" si="21"/>
        <v>-1.82</v>
      </c>
      <c r="R59">
        <f t="shared" si="22"/>
        <v>5</v>
      </c>
      <c r="S59">
        <f t="shared" si="23"/>
        <v>1</v>
      </c>
      <c r="T59">
        <f t="shared" si="24"/>
        <v>0</v>
      </c>
      <c r="U59">
        <f t="shared" si="25"/>
        <v>4</v>
      </c>
    </row>
    <row r="60" spans="1:21" x14ac:dyDescent="0.25">
      <c r="A60">
        <v>59</v>
      </c>
      <c r="B60" t="s">
        <v>65</v>
      </c>
      <c r="C60">
        <v>-9.6999999999999993</v>
      </c>
      <c r="D60">
        <v>-1.9400000000000002</v>
      </c>
      <c r="E60">
        <v>8</v>
      </c>
      <c r="F60">
        <v>3</v>
      </c>
      <c r="G60">
        <v>0</v>
      </c>
      <c r="H60">
        <v>5</v>
      </c>
      <c r="I60" s="7">
        <f>IFERROR((F60/E60)*100,0)</f>
        <v>37.5</v>
      </c>
      <c r="J60" s="10">
        <f>IFERROR(C60/E60,0)</f>
        <v>-1.2124999999999999</v>
      </c>
      <c r="K60" s="10">
        <f>IFERROR(D60/E60,0)</f>
        <v>-0.24250000000000002</v>
      </c>
      <c r="L60" s="10" t="str">
        <f>LEFT(B60,3)</f>
        <v>UEG</v>
      </c>
      <c r="M60">
        <v>53</v>
      </c>
      <c r="N60" s="7">
        <f>M60-A60</f>
        <v>-6</v>
      </c>
      <c r="P60">
        <f t="shared" si="20"/>
        <v>-9.6999999999999993</v>
      </c>
      <c r="Q60">
        <f t="shared" si="21"/>
        <v>-1.9400000000000002</v>
      </c>
      <c r="R60">
        <f t="shared" si="22"/>
        <v>8</v>
      </c>
      <c r="S60">
        <f t="shared" si="23"/>
        <v>3</v>
      </c>
      <c r="T60">
        <f t="shared" si="24"/>
        <v>0</v>
      </c>
      <c r="U60">
        <f t="shared" si="25"/>
        <v>5</v>
      </c>
    </row>
    <row r="61" spans="1:21" x14ac:dyDescent="0.25">
      <c r="A61">
        <v>60</v>
      </c>
      <c r="B61" s="8" t="s">
        <v>126</v>
      </c>
      <c r="C61">
        <v>-10.199999999999999</v>
      </c>
      <c r="D61">
        <v>-2.04</v>
      </c>
      <c r="E61">
        <v>4</v>
      </c>
      <c r="F61">
        <v>0</v>
      </c>
      <c r="G61">
        <v>0</v>
      </c>
      <c r="H61">
        <v>4</v>
      </c>
      <c r="I61" s="7">
        <f>IFERROR((F61/E61)*100,0)</f>
        <v>0</v>
      </c>
      <c r="J61" s="10">
        <f>IFERROR(C61/E61,0)</f>
        <v>-2.5499999999999998</v>
      </c>
      <c r="K61" s="10">
        <f>IFERROR(D61/E61,0)</f>
        <v>-0.51</v>
      </c>
      <c r="L61" s="10" t="str">
        <f>LEFT(B61,3)</f>
        <v>UEG</v>
      </c>
      <c r="M61">
        <v>54</v>
      </c>
      <c r="N61" s="7">
        <f>M61-A61</f>
        <v>-6</v>
      </c>
      <c r="P61">
        <f t="shared" ref="P61" si="26">C61+W61</f>
        <v>-10.199999999999999</v>
      </c>
      <c r="Q61">
        <f t="shared" ref="Q61" si="27">D61+X61</f>
        <v>-2.04</v>
      </c>
      <c r="R61">
        <f t="shared" ref="R61" si="28">E61+Y61</f>
        <v>4</v>
      </c>
      <c r="S61">
        <f t="shared" ref="S61" si="29">F61+Z61</f>
        <v>0</v>
      </c>
      <c r="T61">
        <f t="shared" ref="T61" si="30">G61+AA61</f>
        <v>0</v>
      </c>
      <c r="U61">
        <f t="shared" ref="U61" si="31">H61+AB61</f>
        <v>4</v>
      </c>
    </row>
    <row r="62" spans="1:21" x14ac:dyDescent="0.25">
      <c r="A62">
        <v>61</v>
      </c>
      <c r="B62" s="8" t="s">
        <v>128</v>
      </c>
      <c r="C62">
        <v>-11.4</v>
      </c>
      <c r="D62">
        <v>-2.2800000000000002</v>
      </c>
      <c r="E62">
        <v>1</v>
      </c>
      <c r="F62">
        <v>0</v>
      </c>
      <c r="G62">
        <v>0</v>
      </c>
      <c r="H62">
        <v>1</v>
      </c>
      <c r="I62" s="7">
        <f>IFERROR((F62/E62)*100,0)</f>
        <v>0</v>
      </c>
      <c r="J62" s="10">
        <f>IFERROR(C62/E62,0)</f>
        <v>-11.4</v>
      </c>
      <c r="K62" s="10">
        <f>IFERROR(D62/E62,0)</f>
        <v>-2.2800000000000002</v>
      </c>
      <c r="L62" s="10" t="str">
        <f>LEFT(B62,3)</f>
        <v>UEG</v>
      </c>
      <c r="M62">
        <v>55</v>
      </c>
      <c r="N62" s="7">
        <f>M62-A62</f>
        <v>-6</v>
      </c>
      <c r="P62">
        <f t="shared" ref="P62" si="32">C62+W62</f>
        <v>-11.4</v>
      </c>
      <c r="Q62">
        <f t="shared" ref="Q62" si="33">D62+X62</f>
        <v>-2.2800000000000002</v>
      </c>
      <c r="R62">
        <f t="shared" ref="R62" si="34">E62+Y62</f>
        <v>1</v>
      </c>
      <c r="S62">
        <f t="shared" ref="S62" si="35">F62+Z62</f>
        <v>0</v>
      </c>
      <c r="T62">
        <f t="shared" ref="T62" si="36">G62+AA62</f>
        <v>0</v>
      </c>
      <c r="U62">
        <f t="shared" ref="U62" si="37">H62+AB62</f>
        <v>1</v>
      </c>
    </row>
    <row r="63" spans="1:21" x14ac:dyDescent="0.25">
      <c r="A63">
        <v>62</v>
      </c>
      <c r="B63" s="8" t="s">
        <v>52</v>
      </c>
      <c r="C63">
        <v>-12</v>
      </c>
      <c r="D63">
        <v>-2.4</v>
      </c>
      <c r="E63">
        <v>2</v>
      </c>
      <c r="F63">
        <v>0</v>
      </c>
      <c r="G63">
        <v>0</v>
      </c>
      <c r="H63">
        <v>2</v>
      </c>
      <c r="I63" s="7">
        <f>IFERROR((F63/E63)*100,0)</f>
        <v>0</v>
      </c>
      <c r="J63" s="10">
        <f>IFERROR(C63/E63,0)</f>
        <v>-6</v>
      </c>
      <c r="K63" s="10">
        <f>IFERROR(D63/E63,0)</f>
        <v>-1.2</v>
      </c>
      <c r="L63" s="10" t="str">
        <f>LEFT(B63,3)</f>
        <v>UEG</v>
      </c>
      <c r="M63">
        <v>56</v>
      </c>
      <c r="N63" s="7">
        <f>M63-A63</f>
        <v>-6</v>
      </c>
      <c r="P63">
        <f t="shared" ref="P63:P64" si="38">C63+W63</f>
        <v>-12</v>
      </c>
      <c r="Q63">
        <f t="shared" ref="Q63:Q64" si="39">D63+X63</f>
        <v>-2.4</v>
      </c>
      <c r="R63">
        <f t="shared" ref="R63:R64" si="40">E63+Y63</f>
        <v>2</v>
      </c>
      <c r="S63">
        <f t="shared" ref="S63:S64" si="41">F63+Z63</f>
        <v>0</v>
      </c>
      <c r="T63">
        <f t="shared" ref="T63:T64" si="42">G63+AA63</f>
        <v>0</v>
      </c>
      <c r="U63">
        <f t="shared" ref="U63:U64" si="43">H63+AB63</f>
        <v>2</v>
      </c>
    </row>
    <row r="64" spans="1:21" x14ac:dyDescent="0.25">
      <c r="A64">
        <v>63</v>
      </c>
      <c r="B64" s="8" t="s">
        <v>68</v>
      </c>
      <c r="C64">
        <v>-12</v>
      </c>
      <c r="D64">
        <v>-2.4</v>
      </c>
      <c r="E64">
        <v>5</v>
      </c>
      <c r="F64">
        <v>2</v>
      </c>
      <c r="G64">
        <v>0</v>
      </c>
      <c r="H64">
        <v>3</v>
      </c>
      <c r="I64" s="7">
        <f>IFERROR((F64/E64)*100,0)</f>
        <v>40</v>
      </c>
      <c r="J64" s="10">
        <f>IFERROR(C64/E64,0)</f>
        <v>-2.4</v>
      </c>
      <c r="K64" s="10">
        <f>IFERROR(D64/E64,0)</f>
        <v>-0.48</v>
      </c>
      <c r="L64" s="10" t="str">
        <f>LEFT(B64,3)</f>
        <v>LEG</v>
      </c>
      <c r="M64">
        <v>57</v>
      </c>
      <c r="N64" s="7">
        <f>M64-A64</f>
        <v>-6</v>
      </c>
      <c r="P64">
        <f t="shared" si="38"/>
        <v>-12</v>
      </c>
      <c r="Q64">
        <f t="shared" si="39"/>
        <v>-2.4</v>
      </c>
      <c r="R64">
        <f t="shared" si="40"/>
        <v>5</v>
      </c>
      <c r="S64">
        <f t="shared" si="41"/>
        <v>2</v>
      </c>
      <c r="T64">
        <f t="shared" si="42"/>
        <v>0</v>
      </c>
      <c r="U64">
        <f t="shared" si="43"/>
        <v>3</v>
      </c>
    </row>
    <row r="65" spans="1:21" x14ac:dyDescent="0.25">
      <c r="A65">
        <v>64</v>
      </c>
      <c r="B65" t="s">
        <v>90</v>
      </c>
      <c r="C65">
        <v>-13</v>
      </c>
      <c r="D65">
        <v>-2.6000000000000005</v>
      </c>
      <c r="E65">
        <v>7</v>
      </c>
      <c r="F65">
        <v>3</v>
      </c>
      <c r="G65">
        <v>0</v>
      </c>
      <c r="H65">
        <v>4</v>
      </c>
      <c r="I65" s="7">
        <f>IFERROR((F65/E65)*100,0)</f>
        <v>42.857142857142854</v>
      </c>
      <c r="J65" s="10">
        <f>IFERROR(C65/E65,0)</f>
        <v>-1.8571428571428572</v>
      </c>
      <c r="K65" s="10">
        <f>IFERROR(D65/E65,0)</f>
        <v>-0.3714285714285715</v>
      </c>
      <c r="L65" s="10" t="str">
        <f>LEFT(B65,3)</f>
        <v>PEG</v>
      </c>
      <c r="M65">
        <v>58</v>
      </c>
      <c r="N65" s="7">
        <f>M65-A65</f>
        <v>-6</v>
      </c>
      <c r="P65">
        <f t="shared" ref="P65:P70" si="44">C65+W65</f>
        <v>-13</v>
      </c>
      <c r="Q65">
        <f t="shared" ref="Q65:Q70" si="45">D65+X65</f>
        <v>-2.6000000000000005</v>
      </c>
      <c r="R65">
        <f t="shared" ref="R65:R70" si="46">E65+Y65</f>
        <v>7</v>
      </c>
      <c r="S65">
        <f t="shared" ref="S65:S70" si="47">F65+Z65</f>
        <v>3</v>
      </c>
      <c r="T65">
        <f t="shared" ref="T65:T70" si="48">G65+AA65</f>
        <v>0</v>
      </c>
      <c r="U65">
        <f t="shared" ref="U65:U70" si="49">H65+AB65</f>
        <v>4</v>
      </c>
    </row>
    <row r="66" spans="1:21" x14ac:dyDescent="0.25">
      <c r="A66">
        <v>65</v>
      </c>
      <c r="B66" s="4" t="s">
        <v>97</v>
      </c>
      <c r="C66">
        <v>-13.299999999999999</v>
      </c>
      <c r="D66">
        <v>-2.6599999999999997</v>
      </c>
      <c r="E66">
        <v>9</v>
      </c>
      <c r="F66">
        <v>4</v>
      </c>
      <c r="G66">
        <v>0</v>
      </c>
      <c r="H66">
        <v>5</v>
      </c>
      <c r="I66" s="7">
        <f>IFERROR((F66/E66)*100,0)</f>
        <v>44.444444444444443</v>
      </c>
      <c r="J66" s="10">
        <f>IFERROR(C66/E66,0)</f>
        <v>-1.4777777777777776</v>
      </c>
      <c r="K66" s="10">
        <f>IFERROR(D66/E66,0)</f>
        <v>-0.29555555555555552</v>
      </c>
      <c r="L66" s="10" t="str">
        <f>LEFT(B66,3)</f>
        <v>LEG</v>
      </c>
      <c r="M66">
        <v>59</v>
      </c>
      <c r="N66" s="7">
        <f>M66-A66</f>
        <v>-6</v>
      </c>
      <c r="P66">
        <f t="shared" si="44"/>
        <v>-13.299999999999999</v>
      </c>
      <c r="Q66">
        <f t="shared" si="45"/>
        <v>-2.6599999999999997</v>
      </c>
      <c r="R66">
        <f t="shared" si="46"/>
        <v>9</v>
      </c>
      <c r="S66">
        <f t="shared" si="47"/>
        <v>4</v>
      </c>
      <c r="T66">
        <f t="shared" si="48"/>
        <v>0</v>
      </c>
      <c r="U66">
        <f t="shared" si="49"/>
        <v>5</v>
      </c>
    </row>
    <row r="67" spans="1:21" x14ac:dyDescent="0.25">
      <c r="A67">
        <v>66</v>
      </c>
      <c r="B67" s="8" t="s">
        <v>140</v>
      </c>
      <c r="C67">
        <v>-13.4</v>
      </c>
      <c r="D67">
        <v>-2.6799999999999997</v>
      </c>
      <c r="E67">
        <v>5</v>
      </c>
      <c r="F67">
        <v>2</v>
      </c>
      <c r="G67">
        <v>0</v>
      </c>
      <c r="H67">
        <v>3</v>
      </c>
      <c r="I67" s="7">
        <f>IFERROR((F67/E67)*100,0)</f>
        <v>40</v>
      </c>
      <c r="J67" s="10">
        <f>IFERROR(C67/E67,0)</f>
        <v>-2.68</v>
      </c>
      <c r="K67" s="10">
        <f>IFERROR(D67/E67,0)</f>
        <v>-0.53599999999999992</v>
      </c>
      <c r="L67" s="10" t="str">
        <f>LEFT(B67,3)</f>
        <v>PEG</v>
      </c>
      <c r="M67">
        <v>60</v>
      </c>
      <c r="N67" s="7">
        <f>M67-A67</f>
        <v>-6</v>
      </c>
      <c r="P67">
        <f t="shared" si="44"/>
        <v>-13.4</v>
      </c>
      <c r="Q67">
        <f t="shared" si="45"/>
        <v>-2.6799999999999997</v>
      </c>
      <c r="R67">
        <f t="shared" si="46"/>
        <v>5</v>
      </c>
      <c r="S67">
        <f t="shared" si="47"/>
        <v>2</v>
      </c>
      <c r="T67">
        <f t="shared" si="48"/>
        <v>0</v>
      </c>
      <c r="U67">
        <f t="shared" si="49"/>
        <v>3</v>
      </c>
    </row>
    <row r="68" spans="1:21" x14ac:dyDescent="0.25">
      <c r="A68">
        <v>67</v>
      </c>
      <c r="B68" s="8" t="s">
        <v>78</v>
      </c>
      <c r="C68">
        <v>-14</v>
      </c>
      <c r="D68">
        <v>-2.8</v>
      </c>
      <c r="E68">
        <v>5</v>
      </c>
      <c r="F68">
        <v>0</v>
      </c>
      <c r="G68">
        <v>1</v>
      </c>
      <c r="H68">
        <v>4</v>
      </c>
      <c r="I68" s="7">
        <f>IFERROR((F68/E68)*100,0)</f>
        <v>0</v>
      </c>
      <c r="J68" s="10">
        <f>IFERROR(C68/E68,0)</f>
        <v>-2.8</v>
      </c>
      <c r="K68" s="10">
        <f>IFERROR(D68/E68,0)</f>
        <v>-0.55999999999999994</v>
      </c>
      <c r="L68" s="10" t="str">
        <f>LEFT(B68,3)</f>
        <v>LEG</v>
      </c>
      <c r="M68">
        <v>61</v>
      </c>
      <c r="N68" s="7">
        <f>M68-A68</f>
        <v>-6</v>
      </c>
      <c r="P68">
        <f t="shared" si="44"/>
        <v>-14</v>
      </c>
      <c r="Q68">
        <f t="shared" si="45"/>
        <v>-2.8</v>
      </c>
      <c r="R68">
        <f t="shared" si="46"/>
        <v>5</v>
      </c>
      <c r="S68">
        <f t="shared" si="47"/>
        <v>0</v>
      </c>
      <c r="T68">
        <f t="shared" si="48"/>
        <v>1</v>
      </c>
      <c r="U68">
        <f t="shared" si="49"/>
        <v>4</v>
      </c>
    </row>
    <row r="69" spans="1:21" x14ac:dyDescent="0.25">
      <c r="A69">
        <v>68</v>
      </c>
      <c r="B69" s="8" t="s">
        <v>146</v>
      </c>
      <c r="C69">
        <v>-14.5</v>
      </c>
      <c r="D69">
        <v>-2.9</v>
      </c>
      <c r="E69">
        <v>6</v>
      </c>
      <c r="F69">
        <v>2</v>
      </c>
      <c r="G69">
        <v>1</v>
      </c>
      <c r="H69">
        <v>3</v>
      </c>
      <c r="I69" s="7">
        <f>IFERROR((F69/E69)*100,0)</f>
        <v>33.333333333333329</v>
      </c>
      <c r="J69" s="10">
        <f>IFERROR(C69/E69,0)</f>
        <v>-2.4166666666666665</v>
      </c>
      <c r="K69" s="10">
        <f>IFERROR(D69/E69,0)</f>
        <v>-0.48333333333333334</v>
      </c>
      <c r="L69" s="10" t="str">
        <f>LEFT(B69,3)</f>
        <v>WEG</v>
      </c>
      <c r="M69">
        <v>42</v>
      </c>
      <c r="N69" s="7">
        <f>M69-A69</f>
        <v>-26</v>
      </c>
      <c r="P69">
        <f t="shared" si="44"/>
        <v>-14.5</v>
      </c>
      <c r="Q69">
        <f t="shared" si="45"/>
        <v>-2.9</v>
      </c>
      <c r="R69">
        <f t="shared" si="46"/>
        <v>6</v>
      </c>
      <c r="S69">
        <f t="shared" si="47"/>
        <v>2</v>
      </c>
      <c r="T69">
        <f t="shared" si="48"/>
        <v>1</v>
      </c>
      <c r="U69">
        <f t="shared" si="49"/>
        <v>3</v>
      </c>
    </row>
    <row r="70" spans="1:21" x14ac:dyDescent="0.25">
      <c r="A70">
        <v>69</v>
      </c>
      <c r="B70" s="4" t="s">
        <v>94</v>
      </c>
      <c r="C70">
        <v>-14.700000000000003</v>
      </c>
      <c r="D70">
        <v>-2.9399999999999991</v>
      </c>
      <c r="E70">
        <v>18</v>
      </c>
      <c r="F70">
        <v>8</v>
      </c>
      <c r="G70">
        <v>0</v>
      </c>
      <c r="H70">
        <v>10</v>
      </c>
      <c r="I70" s="7">
        <f>IFERROR((F70/E70)*100,0)</f>
        <v>44.444444444444443</v>
      </c>
      <c r="J70" s="10">
        <f>IFERROR(C70/E70,0)</f>
        <v>-0.81666666666666687</v>
      </c>
      <c r="K70" s="10">
        <f>IFERROR(D70/E70,0)</f>
        <v>-0.16333333333333327</v>
      </c>
      <c r="L70" s="10" t="str">
        <f>LEFT(B70,3)</f>
        <v>LEG</v>
      </c>
      <c r="M70">
        <v>62</v>
      </c>
      <c r="N70" s="7">
        <f>M70-A70</f>
        <v>-7</v>
      </c>
      <c r="P70">
        <f t="shared" si="44"/>
        <v>-14.700000000000003</v>
      </c>
      <c r="Q70">
        <f t="shared" si="45"/>
        <v>-2.9399999999999991</v>
      </c>
      <c r="R70">
        <f t="shared" si="46"/>
        <v>18</v>
      </c>
      <c r="S70">
        <f t="shared" si="47"/>
        <v>8</v>
      </c>
      <c r="T70">
        <f t="shared" si="48"/>
        <v>0</v>
      </c>
      <c r="U70">
        <f t="shared" si="49"/>
        <v>10</v>
      </c>
    </row>
    <row r="71" spans="1:21" x14ac:dyDescent="0.25">
      <c r="A71">
        <v>70</v>
      </c>
      <c r="B71" s="8" t="s">
        <v>125</v>
      </c>
      <c r="C71">
        <v>-15.099999999999998</v>
      </c>
      <c r="D71">
        <v>-3.0200000000000005</v>
      </c>
      <c r="E71">
        <v>6</v>
      </c>
      <c r="F71">
        <v>0</v>
      </c>
      <c r="G71">
        <v>1</v>
      </c>
      <c r="H71">
        <v>5</v>
      </c>
      <c r="I71" s="7">
        <f>IFERROR((F71/E71)*100,0)</f>
        <v>0</v>
      </c>
      <c r="J71" s="10">
        <f>IFERROR(C71/E71,0)</f>
        <v>-2.5166666666666662</v>
      </c>
      <c r="K71" s="10">
        <f>IFERROR(D71/E71,0)</f>
        <v>-0.50333333333333341</v>
      </c>
      <c r="L71" s="10" t="str">
        <f>LEFT(B71,3)</f>
        <v>UEG</v>
      </c>
      <c r="M71">
        <v>64</v>
      </c>
      <c r="N71" s="7">
        <f>M71-A71</f>
        <v>-6</v>
      </c>
      <c r="P71">
        <f t="shared" ref="P71" si="50">C71+W71</f>
        <v>-15.099999999999998</v>
      </c>
      <c r="Q71">
        <f t="shared" ref="Q71" si="51">D71+X71</f>
        <v>-3.0200000000000005</v>
      </c>
      <c r="R71">
        <f t="shared" ref="R71" si="52">E71+Y71</f>
        <v>6</v>
      </c>
      <c r="S71">
        <f t="shared" ref="S71" si="53">F71+Z71</f>
        <v>0</v>
      </c>
      <c r="T71">
        <f t="shared" ref="T71" si="54">G71+AA71</f>
        <v>1</v>
      </c>
      <c r="U71">
        <f t="shared" ref="U71" si="55">H71+AB71</f>
        <v>5</v>
      </c>
    </row>
    <row r="72" spans="1:21" x14ac:dyDescent="0.25">
      <c r="A72">
        <v>71</v>
      </c>
      <c r="B72" s="8" t="s">
        <v>133</v>
      </c>
      <c r="C72">
        <v>-19.5</v>
      </c>
      <c r="D72">
        <v>-3.9</v>
      </c>
      <c r="E72">
        <v>1</v>
      </c>
      <c r="F72">
        <v>0</v>
      </c>
      <c r="G72">
        <v>0</v>
      </c>
      <c r="H72">
        <v>1</v>
      </c>
      <c r="I72" s="7">
        <f>IFERROR((F72/E72)*100,0)</f>
        <v>0</v>
      </c>
      <c r="J72" s="10">
        <f>IFERROR(C72/E72,0)</f>
        <v>-19.5</v>
      </c>
      <c r="K72" s="10">
        <f>IFERROR(D72/E72,0)</f>
        <v>-3.9</v>
      </c>
      <c r="L72" s="10" t="str">
        <f>LEFT(B72,3)</f>
        <v>UEG</v>
      </c>
      <c r="M72">
        <v>65</v>
      </c>
      <c r="N72" s="7">
        <f>M72-A72</f>
        <v>-6</v>
      </c>
      <c r="P72">
        <f t="shared" ref="P72" si="56">C72+W72</f>
        <v>-19.5</v>
      </c>
      <c r="Q72">
        <f t="shared" ref="Q72" si="57">D72+X72</f>
        <v>-3.9</v>
      </c>
      <c r="R72">
        <f t="shared" ref="R72" si="58">E72+Y72</f>
        <v>1</v>
      </c>
      <c r="S72">
        <f t="shared" ref="S72" si="59">F72+Z72</f>
        <v>0</v>
      </c>
      <c r="T72">
        <f t="shared" ref="T72" si="60">G72+AA72</f>
        <v>0</v>
      </c>
      <c r="U72">
        <f t="shared" ref="U72" si="61">H72+AB72</f>
        <v>1</v>
      </c>
    </row>
    <row r="73" spans="1:21" x14ac:dyDescent="0.25">
      <c r="A73">
        <v>72</v>
      </c>
      <c r="B73" s="8" t="s">
        <v>144</v>
      </c>
      <c r="C73">
        <v>-21.799999999999997</v>
      </c>
      <c r="D73">
        <v>-4.3599999999999994</v>
      </c>
      <c r="E73">
        <v>4</v>
      </c>
      <c r="F73">
        <v>1</v>
      </c>
      <c r="G73">
        <v>0</v>
      </c>
      <c r="H73">
        <v>3</v>
      </c>
      <c r="I73" s="7">
        <f>IFERROR((F73/E73)*100,0)</f>
        <v>25</v>
      </c>
      <c r="J73" s="10">
        <f>IFERROR(C73/E73,0)</f>
        <v>-5.4499999999999993</v>
      </c>
      <c r="K73" s="10">
        <f>IFERROR(D73/E73,0)</f>
        <v>-1.0899999999999999</v>
      </c>
      <c r="L73" s="10" t="str">
        <f>LEFT(B73,3)</f>
        <v>UEG</v>
      </c>
      <c r="M73">
        <v>63</v>
      </c>
      <c r="N73" s="7">
        <f t="shared" ref="N73:N79" si="62">M73-A73</f>
        <v>-9</v>
      </c>
      <c r="P73">
        <f t="shared" ref="P73:P79" si="63">C73+W73</f>
        <v>-21.799999999999997</v>
      </c>
      <c r="Q73">
        <f t="shared" ref="Q73:Q79" si="64">D73+X73</f>
        <v>-4.3599999999999994</v>
      </c>
      <c r="R73">
        <f t="shared" ref="R73:R79" si="65">E73+Y73</f>
        <v>4</v>
      </c>
      <c r="S73">
        <f t="shared" ref="S73:S79" si="66">F73+Z73</f>
        <v>1</v>
      </c>
      <c r="T73">
        <f t="shared" ref="T73:T79" si="67">G73+AA73</f>
        <v>0</v>
      </c>
      <c r="U73">
        <f t="shared" ref="U73:U79" si="68">H73+AB73</f>
        <v>3</v>
      </c>
    </row>
    <row r="74" spans="1:21" x14ac:dyDescent="0.25">
      <c r="A74">
        <v>73</v>
      </c>
      <c r="B74" s="6" t="s">
        <v>92</v>
      </c>
      <c r="C74">
        <v>-22.200000000000003</v>
      </c>
      <c r="D74">
        <v>-4.4399999999999986</v>
      </c>
      <c r="E74">
        <v>15</v>
      </c>
      <c r="F74">
        <v>6</v>
      </c>
      <c r="G74">
        <v>0</v>
      </c>
      <c r="H74">
        <v>9</v>
      </c>
      <c r="I74" s="7">
        <f>IFERROR((F74/E74)*100,0)</f>
        <v>40</v>
      </c>
      <c r="J74" s="10">
        <f>IFERROR(C74/E74,0)</f>
        <v>-1.4800000000000002</v>
      </c>
      <c r="K74" s="10">
        <f>IFERROR(D74/E74,0)</f>
        <v>-0.29599999999999993</v>
      </c>
      <c r="L74" s="10" t="str">
        <f>LEFT(B74,3)</f>
        <v>PEG</v>
      </c>
      <c r="M74">
        <v>66</v>
      </c>
      <c r="N74" s="7">
        <f t="shared" si="62"/>
        <v>-7</v>
      </c>
      <c r="P74">
        <f t="shared" si="63"/>
        <v>-22.200000000000003</v>
      </c>
      <c r="Q74">
        <f t="shared" si="64"/>
        <v>-4.4399999999999986</v>
      </c>
      <c r="R74">
        <f t="shared" si="65"/>
        <v>15</v>
      </c>
      <c r="S74">
        <f t="shared" si="66"/>
        <v>6</v>
      </c>
      <c r="T74">
        <f t="shared" si="67"/>
        <v>0</v>
      </c>
      <c r="U74">
        <f t="shared" si="68"/>
        <v>9</v>
      </c>
    </row>
    <row r="75" spans="1:21" x14ac:dyDescent="0.25">
      <c r="A75">
        <v>74</v>
      </c>
      <c r="B75" t="s">
        <v>55</v>
      </c>
      <c r="C75">
        <v>-22.700000000000003</v>
      </c>
      <c r="D75">
        <v>-4.5399999999999991</v>
      </c>
      <c r="E75">
        <v>19</v>
      </c>
      <c r="F75">
        <v>9</v>
      </c>
      <c r="G75">
        <v>0</v>
      </c>
      <c r="H75">
        <v>10</v>
      </c>
      <c r="I75" s="7">
        <f>IFERROR((F75/E75)*100,0)</f>
        <v>47.368421052631575</v>
      </c>
      <c r="J75" s="10">
        <f>IFERROR(C75/E75,0)</f>
        <v>-1.1947368421052633</v>
      </c>
      <c r="K75" s="10">
        <f>IFERROR(D75/E75,0)</f>
        <v>-0.23894736842105258</v>
      </c>
      <c r="L75" s="10" t="str">
        <f>LEFT(B75,3)</f>
        <v>VEG</v>
      </c>
      <c r="M75">
        <v>67</v>
      </c>
      <c r="N75" s="7">
        <f t="shared" si="62"/>
        <v>-7</v>
      </c>
      <c r="P75">
        <f t="shared" si="63"/>
        <v>-22.700000000000003</v>
      </c>
      <c r="Q75">
        <f t="shared" si="64"/>
        <v>-4.5399999999999991</v>
      </c>
      <c r="R75">
        <f t="shared" si="65"/>
        <v>19</v>
      </c>
      <c r="S75">
        <f t="shared" si="66"/>
        <v>9</v>
      </c>
      <c r="T75">
        <f t="shared" si="67"/>
        <v>0</v>
      </c>
      <c r="U75">
        <f t="shared" si="68"/>
        <v>10</v>
      </c>
    </row>
    <row r="76" spans="1:21" x14ac:dyDescent="0.25">
      <c r="A76">
        <v>75</v>
      </c>
      <c r="B76" s="6" t="s">
        <v>93</v>
      </c>
      <c r="C76">
        <v>-25.799999999999997</v>
      </c>
      <c r="D76">
        <v>-5.16</v>
      </c>
      <c r="E76">
        <v>12</v>
      </c>
      <c r="F76">
        <v>4</v>
      </c>
      <c r="G76">
        <v>0</v>
      </c>
      <c r="H76">
        <v>8</v>
      </c>
      <c r="I76" s="7">
        <f>IFERROR((F76/E76)*100,0)</f>
        <v>33.333333333333329</v>
      </c>
      <c r="J76" s="10">
        <f>IFERROR(C76/E76,0)</f>
        <v>-2.15</v>
      </c>
      <c r="K76" s="10">
        <f>IFERROR(D76/E76,0)</f>
        <v>-0.43</v>
      </c>
      <c r="L76" s="10" t="str">
        <f>LEFT(B76,3)</f>
        <v>PEG</v>
      </c>
      <c r="M76">
        <v>68</v>
      </c>
      <c r="N76" s="7">
        <f t="shared" si="62"/>
        <v>-7</v>
      </c>
      <c r="P76">
        <f t="shared" si="63"/>
        <v>-25.799999999999997</v>
      </c>
      <c r="Q76">
        <f t="shared" si="64"/>
        <v>-5.16</v>
      </c>
      <c r="R76">
        <f t="shared" si="65"/>
        <v>12</v>
      </c>
      <c r="S76">
        <f t="shared" si="66"/>
        <v>4</v>
      </c>
      <c r="T76">
        <f t="shared" si="67"/>
        <v>0</v>
      </c>
      <c r="U76">
        <f t="shared" si="68"/>
        <v>8</v>
      </c>
    </row>
    <row r="77" spans="1:21" x14ac:dyDescent="0.25">
      <c r="A77">
        <v>76</v>
      </c>
      <c r="B77" s="6" t="s">
        <v>57</v>
      </c>
      <c r="C77">
        <v>-42.199999999999996</v>
      </c>
      <c r="D77">
        <v>-8.44</v>
      </c>
      <c r="E77">
        <v>19</v>
      </c>
      <c r="F77">
        <v>8</v>
      </c>
      <c r="G77">
        <v>1</v>
      </c>
      <c r="H77">
        <v>10</v>
      </c>
      <c r="I77" s="7">
        <f>IFERROR((F77/E77)*100,0)</f>
        <v>42.105263157894733</v>
      </c>
      <c r="J77" s="10">
        <f>IFERROR(C77/E77,0)</f>
        <v>-2.2210526315789472</v>
      </c>
      <c r="K77" s="10">
        <f>IFERROR(D77/E77,0)</f>
        <v>-0.44421052631578944</v>
      </c>
      <c r="L77" s="10" t="str">
        <f>LEFT(B77,3)</f>
        <v>PEG</v>
      </c>
      <c r="M77">
        <v>69</v>
      </c>
      <c r="N77" s="7">
        <f t="shared" si="62"/>
        <v>-7</v>
      </c>
      <c r="P77">
        <f t="shared" si="63"/>
        <v>-42.199999999999996</v>
      </c>
      <c r="Q77">
        <f t="shared" si="64"/>
        <v>-8.44</v>
      </c>
      <c r="R77">
        <f t="shared" si="65"/>
        <v>19</v>
      </c>
      <c r="S77">
        <f t="shared" si="66"/>
        <v>8</v>
      </c>
      <c r="T77">
        <f t="shared" si="67"/>
        <v>1</v>
      </c>
      <c r="U77">
        <f t="shared" si="68"/>
        <v>10</v>
      </c>
    </row>
    <row r="78" spans="1:21" x14ac:dyDescent="0.25">
      <c r="A78">
        <v>77</v>
      </c>
      <c r="B78" s="4" t="s">
        <v>81</v>
      </c>
      <c r="C78">
        <v>-42.900000000000006</v>
      </c>
      <c r="D78">
        <v>-8.58</v>
      </c>
      <c r="E78">
        <v>4</v>
      </c>
      <c r="F78">
        <v>0</v>
      </c>
      <c r="G78">
        <v>0</v>
      </c>
      <c r="H78">
        <v>4</v>
      </c>
      <c r="I78" s="7">
        <f>IFERROR((F78/E78)*100,0)</f>
        <v>0</v>
      </c>
      <c r="J78" s="10">
        <f>IFERROR(C78/E78,0)</f>
        <v>-10.725000000000001</v>
      </c>
      <c r="K78" s="10">
        <f>IFERROR(D78/E78,0)</f>
        <v>-2.145</v>
      </c>
      <c r="L78" s="10" t="str">
        <f>LEFT(B78,3)</f>
        <v>LEG</v>
      </c>
      <c r="M78">
        <v>70</v>
      </c>
      <c r="N78" s="7">
        <f t="shared" si="62"/>
        <v>-7</v>
      </c>
      <c r="P78">
        <f t="shared" si="63"/>
        <v>-42.900000000000006</v>
      </c>
      <c r="Q78">
        <f t="shared" si="64"/>
        <v>-8.58</v>
      </c>
      <c r="R78">
        <f t="shared" si="65"/>
        <v>4</v>
      </c>
      <c r="S78">
        <f t="shared" si="66"/>
        <v>0</v>
      </c>
      <c r="T78">
        <f t="shared" si="67"/>
        <v>0</v>
      </c>
      <c r="U78">
        <f t="shared" si="68"/>
        <v>4</v>
      </c>
    </row>
    <row r="79" spans="1:21" x14ac:dyDescent="0.25">
      <c r="A79">
        <v>78</v>
      </c>
      <c r="B79" t="s">
        <v>127</v>
      </c>
      <c r="C79">
        <v>-46.7</v>
      </c>
      <c r="D79">
        <v>-9.3400000000000016</v>
      </c>
      <c r="E79">
        <v>22</v>
      </c>
      <c r="F79">
        <v>7</v>
      </c>
      <c r="G79">
        <v>0</v>
      </c>
      <c r="H79">
        <v>15</v>
      </c>
      <c r="I79" s="7">
        <f>IFERROR((F79/E79)*100,0)</f>
        <v>31.818181818181817</v>
      </c>
      <c r="J79" s="10">
        <f>IFERROR(C79/E79,0)</f>
        <v>-2.122727272727273</v>
      </c>
      <c r="K79" s="10">
        <f>IFERROR(D79/E79,0)</f>
        <v>-0.42454545454545461</v>
      </c>
      <c r="L79" s="10" t="str">
        <f>LEFT(B79,3)</f>
        <v>VEG</v>
      </c>
      <c r="M79">
        <v>71</v>
      </c>
      <c r="N79" s="7">
        <f t="shared" si="62"/>
        <v>-7</v>
      </c>
      <c r="P79">
        <f t="shared" si="63"/>
        <v>-46.7</v>
      </c>
      <c r="Q79">
        <f t="shared" si="64"/>
        <v>-9.3400000000000016</v>
      </c>
      <c r="R79">
        <f t="shared" si="65"/>
        <v>22</v>
      </c>
      <c r="S79">
        <f t="shared" si="66"/>
        <v>7</v>
      </c>
      <c r="T79">
        <f t="shared" si="67"/>
        <v>0</v>
      </c>
      <c r="U79">
        <f t="shared" si="68"/>
        <v>15</v>
      </c>
    </row>
  </sheetData>
  <sortState xmlns:xlrd2="http://schemas.microsoft.com/office/spreadsheetml/2017/richdata2" ref="B2:M79">
    <sortCondition descending="1" ref="C2:C79"/>
  </sortState>
  <conditionalFormatting sqref="C1:C1048576">
    <cfRule type="dataBar" priority="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{7D10D13C-C571-4B59-93B5-12E7A59A1CCD}</x14:id>
        </ext>
      </extLst>
    </cfRule>
  </conditionalFormatting>
  <conditionalFormatting sqref="D1:D1048576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{D3CC7566-39D3-442D-B264-09F8FB894D7E}</x14:id>
        </ext>
      </extLst>
    </cfRule>
  </conditionalFormatting>
  <conditionalFormatting sqref="E1:E1048576"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{D11EAE19-2FE0-487D-807E-F3158426B75C}</x14:id>
        </ext>
      </extLst>
    </cfRule>
  </conditionalFormatting>
  <conditionalFormatting sqref="F1:F1048576"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{DEA1496F-97D6-4457-8BC6-5686A3A3E290}</x14:id>
        </ext>
      </extLst>
    </cfRule>
  </conditionalFormatting>
  <conditionalFormatting sqref="G1:G1048576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{7EED29B2-BD73-4FCE-A7F4-C513664D4836}</x14:id>
        </ext>
      </extLst>
    </cfRule>
  </conditionalFormatting>
  <conditionalFormatting sqref="H1:H1048576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{73528973-DA01-41C1-B487-0DE1464CE7F4}</x14:id>
        </ext>
      </extLst>
    </cfRule>
  </conditionalFormatting>
  <conditionalFormatting sqref="I1:I1048576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{19BA1BDB-A63C-42B1-96C9-B439C2E4A76C}</x14:id>
        </ext>
      </extLst>
    </cfRule>
  </conditionalFormatting>
  <conditionalFormatting sqref="J1:J1048576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{10927AF3-62C6-4960-B1F7-114136005372}</x14:id>
        </ext>
      </extLst>
    </cfRule>
  </conditionalFormatting>
  <conditionalFormatting sqref="K1:N1 K80:N1048576 K2:L79">
    <cfRule type="dataBar" priority="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{2C258912-4D56-494D-906F-21CEDB1D53A1}</x14:id>
        </ext>
      </extLst>
    </cfRule>
  </conditionalFormatting>
  <conditionalFormatting sqref="B63:B64 B72:B1048576 B1:B61">
    <cfRule type="containsText" dxfId="160" priority="49" operator="containsText" text="LEG">
      <formula>NOT(ISERROR(SEARCH("LEG",B1)))</formula>
    </cfRule>
    <cfRule type="containsText" dxfId="159" priority="50" operator="containsText" text="VEG">
      <formula>NOT(ISERROR(SEARCH("VEG",B1)))</formula>
    </cfRule>
    <cfRule type="containsText" dxfId="158" priority="51" operator="containsText" text="VEG">
      <formula>NOT(ISERROR(SEARCH("VEG",B1)))</formula>
    </cfRule>
    <cfRule type="containsText" dxfId="157" priority="52" operator="containsText" text="WEG">
      <formula>NOT(ISERROR(SEARCH("WEG",B1)))</formula>
    </cfRule>
    <cfRule type="containsText" dxfId="156" priority="53" operator="containsText" text="UEG">
      <formula>NOT(ISERROR(SEARCH("UEG",B1)))</formula>
    </cfRule>
    <cfRule type="containsText" dxfId="155" priority="54" operator="containsText" text="SEG">
      <formula>NOT(ISERROR(SEARCH("SEG",B1)))</formula>
    </cfRule>
    <cfRule type="containsText" dxfId="154" priority="55" operator="containsText" text="PEG">
      <formula>NOT(ISERROR(SEARCH("PEG",B1)))</formula>
    </cfRule>
  </conditionalFormatting>
  <conditionalFormatting sqref="B62">
    <cfRule type="containsText" dxfId="153" priority="42" operator="containsText" text="LEG">
      <formula>NOT(ISERROR(SEARCH("LEG",B62)))</formula>
    </cfRule>
    <cfRule type="containsText" dxfId="152" priority="43" operator="containsText" text="VEG">
      <formula>NOT(ISERROR(SEARCH("VEG",B62)))</formula>
    </cfRule>
    <cfRule type="containsText" dxfId="151" priority="44" operator="containsText" text="VEG">
      <formula>NOT(ISERROR(SEARCH("VEG",B62)))</formula>
    </cfRule>
    <cfRule type="containsText" dxfId="150" priority="45" operator="containsText" text="WEG">
      <formula>NOT(ISERROR(SEARCH("WEG",B62)))</formula>
    </cfRule>
    <cfRule type="containsText" dxfId="149" priority="46" operator="containsText" text="UEG">
      <formula>NOT(ISERROR(SEARCH("UEG",B62)))</formula>
    </cfRule>
    <cfRule type="containsText" dxfId="148" priority="47" operator="containsText" text="SEG">
      <formula>NOT(ISERROR(SEARCH("SEG",B62)))</formula>
    </cfRule>
    <cfRule type="containsText" dxfId="147" priority="48" operator="containsText" text="PEG">
      <formula>NOT(ISERROR(SEARCH("PEG",B62)))</formula>
    </cfRule>
  </conditionalFormatting>
  <conditionalFormatting sqref="B68">
    <cfRule type="containsText" dxfId="146" priority="35" operator="containsText" text="LEG">
      <formula>NOT(ISERROR(SEARCH("LEG",B68)))</formula>
    </cfRule>
    <cfRule type="containsText" dxfId="145" priority="36" operator="containsText" text="VEG">
      <formula>NOT(ISERROR(SEARCH("VEG",B68)))</formula>
    </cfRule>
    <cfRule type="containsText" dxfId="144" priority="37" operator="containsText" text="VEG">
      <formula>NOT(ISERROR(SEARCH("VEG",B68)))</formula>
    </cfRule>
    <cfRule type="containsText" dxfId="143" priority="38" operator="containsText" text="WEG">
      <formula>NOT(ISERROR(SEARCH("WEG",B68)))</formula>
    </cfRule>
    <cfRule type="containsText" dxfId="142" priority="39" operator="containsText" text="UEG">
      <formula>NOT(ISERROR(SEARCH("UEG",B68)))</formula>
    </cfRule>
    <cfRule type="containsText" dxfId="141" priority="40" operator="containsText" text="SEG">
      <formula>NOT(ISERROR(SEARCH("SEG",B68)))</formula>
    </cfRule>
    <cfRule type="containsText" dxfId="140" priority="41" operator="containsText" text="PEG">
      <formula>NOT(ISERROR(SEARCH("PEG",B68)))</formula>
    </cfRule>
  </conditionalFormatting>
  <conditionalFormatting sqref="B66:B67">
    <cfRule type="containsText" dxfId="139" priority="28" operator="containsText" text="LEG">
      <formula>NOT(ISERROR(SEARCH("LEG",B66)))</formula>
    </cfRule>
    <cfRule type="containsText" dxfId="138" priority="29" operator="containsText" text="VEG">
      <formula>NOT(ISERROR(SEARCH("VEG",B66)))</formula>
    </cfRule>
    <cfRule type="containsText" dxfId="137" priority="30" operator="containsText" text="VEG">
      <formula>NOT(ISERROR(SEARCH("VEG",B66)))</formula>
    </cfRule>
    <cfRule type="containsText" dxfId="136" priority="31" operator="containsText" text="WEG">
      <formula>NOT(ISERROR(SEARCH("WEG",B66)))</formula>
    </cfRule>
    <cfRule type="containsText" dxfId="135" priority="32" operator="containsText" text="UEG">
      <formula>NOT(ISERROR(SEARCH("UEG",B66)))</formula>
    </cfRule>
    <cfRule type="containsText" dxfId="134" priority="33" operator="containsText" text="SEG">
      <formula>NOT(ISERROR(SEARCH("SEG",B66)))</formula>
    </cfRule>
    <cfRule type="containsText" dxfId="133" priority="34" operator="containsText" text="PEG">
      <formula>NOT(ISERROR(SEARCH("PEG",B66)))</formula>
    </cfRule>
  </conditionalFormatting>
  <conditionalFormatting sqref="B71">
    <cfRule type="containsText" dxfId="132" priority="15" operator="containsText" text="LEG">
      <formula>NOT(ISERROR(SEARCH("LEG",B71)))</formula>
    </cfRule>
    <cfRule type="containsText" dxfId="131" priority="16" operator="containsText" text="VEG">
      <formula>NOT(ISERROR(SEARCH("VEG",B71)))</formula>
    </cfRule>
    <cfRule type="containsText" dxfId="130" priority="17" operator="containsText" text="VEG">
      <formula>NOT(ISERROR(SEARCH("VEG",B71)))</formula>
    </cfRule>
    <cfRule type="containsText" dxfId="129" priority="18" operator="containsText" text="WEG">
      <formula>NOT(ISERROR(SEARCH("WEG",B71)))</formula>
    </cfRule>
    <cfRule type="containsText" dxfId="128" priority="19" operator="containsText" text="UEG">
      <formula>NOT(ISERROR(SEARCH("UEG",B71)))</formula>
    </cfRule>
    <cfRule type="containsText" dxfId="127" priority="20" operator="containsText" text="SEG">
      <formula>NOT(ISERROR(SEARCH("SEG",B71)))</formula>
    </cfRule>
    <cfRule type="containsText" dxfId="126" priority="21" operator="containsText" text="PEG">
      <formula>NOT(ISERROR(SEARCH("PEG",B71)))</formula>
    </cfRule>
  </conditionalFormatting>
  <conditionalFormatting sqref="B65">
    <cfRule type="containsText" dxfId="125" priority="8" operator="containsText" text="LEG">
      <formula>NOT(ISERROR(SEARCH("LEG",B65)))</formula>
    </cfRule>
    <cfRule type="containsText" dxfId="124" priority="9" operator="containsText" text="VEG">
      <formula>NOT(ISERROR(SEARCH("VEG",B65)))</formula>
    </cfRule>
    <cfRule type="containsText" dxfId="123" priority="10" operator="containsText" text="VEG">
      <formula>NOT(ISERROR(SEARCH("VEG",B65)))</formula>
    </cfRule>
    <cfRule type="containsText" dxfId="122" priority="11" operator="containsText" text="WEG">
      <formula>NOT(ISERROR(SEARCH("WEG",B65)))</formula>
    </cfRule>
    <cfRule type="containsText" dxfId="121" priority="12" operator="containsText" text="UEG">
      <formula>NOT(ISERROR(SEARCH("UEG",B65)))</formula>
    </cfRule>
    <cfRule type="containsText" dxfId="120" priority="13" operator="containsText" text="SEG">
      <formula>NOT(ISERROR(SEARCH("SEG",B65)))</formula>
    </cfRule>
    <cfRule type="containsText" dxfId="119" priority="14" operator="containsText" text="PEG">
      <formula>NOT(ISERROR(SEARCH("PEG",B65)))</formula>
    </cfRule>
  </conditionalFormatting>
  <conditionalFormatting sqref="B69">
    <cfRule type="containsText" dxfId="6" priority="1" operator="containsText" text="LEG">
      <formula>NOT(ISERROR(SEARCH("LEG",B69)))</formula>
    </cfRule>
    <cfRule type="containsText" dxfId="5" priority="2" operator="containsText" text="VEG">
      <formula>NOT(ISERROR(SEARCH("VEG",B69)))</formula>
    </cfRule>
    <cfRule type="containsText" dxfId="4" priority="3" operator="containsText" text="VEG">
      <formula>NOT(ISERROR(SEARCH("VEG",B69)))</formula>
    </cfRule>
    <cfRule type="containsText" dxfId="3" priority="4" operator="containsText" text="WEG">
      <formula>NOT(ISERROR(SEARCH("WEG",B69)))</formula>
    </cfRule>
    <cfRule type="containsText" dxfId="2" priority="5" operator="containsText" text="UEG">
      <formula>NOT(ISERROR(SEARCH("UEG",B69)))</formula>
    </cfRule>
    <cfRule type="containsText" dxfId="1" priority="6" operator="containsText" text="SEG">
      <formula>NOT(ISERROR(SEARCH("SEG",B69)))</formula>
    </cfRule>
    <cfRule type="containsText" dxfId="0" priority="7" operator="containsText" text="PEG">
      <formula>NOT(ISERROR(SEARCH("PEG",B69)))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10D13C-C571-4B59-93B5-12E7A59A1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D3CC7566-39D3-442D-B264-09F8FB894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D11EAE19-2FE0-487D-807E-F3158426B7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DEA1496F-97D6-4457-8BC6-5686A3A3E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7EED29B2-BD73-4FCE-A7F4-C513664D4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73528973-DA01-41C1-B487-0DE1464CE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19BA1BDB-A63C-42B1-96C9-B439C2E4A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10927AF3-62C6-4960-B1F7-114136005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2C258912-4D56-494D-906F-21CEDB1D5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K1:N1 K80:N1048576 K2:L79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AFF8-0615-4AA5-B49F-FDA402810813}">
  <dimension ref="A1:AB80"/>
  <sheetViews>
    <sheetView workbookViewId="0">
      <pane xSplit="1" topLeftCell="B1" activePane="topRight" state="frozen"/>
      <selection pane="topRight" activeCell="R19" sqref="R19"/>
    </sheetView>
  </sheetViews>
  <sheetFormatPr defaultRowHeight="15" x14ac:dyDescent="0.25"/>
  <cols>
    <col min="1" max="1" width="24.7109375" customWidth="1"/>
    <col min="8" max="28" width="8.42578125" style="11" customWidth="1"/>
  </cols>
  <sheetData>
    <row r="1" spans="1:13" x14ac:dyDescent="0.25">
      <c r="A1" t="s">
        <v>102</v>
      </c>
      <c r="C1">
        <v>500</v>
      </c>
    </row>
    <row r="2" spans="1:13" x14ac:dyDescent="0.25">
      <c r="A2" s="9"/>
      <c r="B2" t="s">
        <v>98</v>
      </c>
      <c r="C2" t="s">
        <v>99</v>
      </c>
      <c r="D2" t="s">
        <v>75</v>
      </c>
      <c r="E2" t="s">
        <v>76</v>
      </c>
      <c r="F2" t="s">
        <v>100</v>
      </c>
      <c r="G2" t="s">
        <v>77</v>
      </c>
      <c r="H2" s="11" t="s">
        <v>103</v>
      </c>
    </row>
    <row r="3" spans="1:13" x14ac:dyDescent="0.25">
      <c r="A3" t="s">
        <v>153</v>
      </c>
      <c r="B3">
        <f>SUM(H3:AB3)</f>
        <v>-0.69999999999999929</v>
      </c>
      <c r="C3">
        <f>(B3/$C$1)*100</f>
        <v>-0.13999999999999987</v>
      </c>
      <c r="D3">
        <f>COUNTA(H3:AB3)</f>
        <v>6</v>
      </c>
      <c r="E3">
        <f>COUNTIF(H3:AB3, "&gt;0")</f>
        <v>3</v>
      </c>
      <c r="F3">
        <f>COUNTIF(H3:AB3, "=0")</f>
        <v>0</v>
      </c>
      <c r="G3">
        <f>COUNTIF(H3:AB3, "&lt;0")</f>
        <v>3</v>
      </c>
      <c r="H3" s="17">
        <v>-2.4</v>
      </c>
      <c r="I3" s="17">
        <v>-3.2</v>
      </c>
      <c r="J3" s="17">
        <v>0.6</v>
      </c>
      <c r="K3" s="18">
        <v>10.4</v>
      </c>
      <c r="L3" s="18">
        <v>1.9</v>
      </c>
      <c r="M3" s="18">
        <v>-8</v>
      </c>
    </row>
    <row r="4" spans="1:13" x14ac:dyDescent="0.25">
      <c r="A4" s="6" t="s">
        <v>159</v>
      </c>
      <c r="B4">
        <f>SUM(H4:AB4)</f>
        <v>12.2</v>
      </c>
      <c r="C4">
        <f>(B4/$C$1)*100</f>
        <v>2.44</v>
      </c>
      <c r="D4">
        <f>COUNTA(H4:AB4)</f>
        <v>5</v>
      </c>
      <c r="E4">
        <f>COUNTIF(H4:AB4, "&gt;0")</f>
        <v>4</v>
      </c>
      <c r="F4">
        <f>COUNTIF(H4:AB4, "=0")</f>
        <v>1</v>
      </c>
      <c r="G4">
        <f>COUNTIF(H4:AB4, "&lt;0")</f>
        <v>0</v>
      </c>
      <c r="H4" s="17">
        <v>3</v>
      </c>
      <c r="I4" s="17">
        <v>2.6</v>
      </c>
      <c r="J4" s="17">
        <v>0</v>
      </c>
      <c r="K4" s="17">
        <v>6</v>
      </c>
      <c r="L4" s="17">
        <v>0.6</v>
      </c>
      <c r="M4" s="15"/>
    </row>
    <row r="5" spans="1:13" x14ac:dyDescent="0.25">
      <c r="A5" s="6" t="s">
        <v>149</v>
      </c>
      <c r="B5">
        <f>SUM(H5:AB5)</f>
        <v>-8.8999999999999986</v>
      </c>
      <c r="C5">
        <f>(B5/$C$1)*100</f>
        <v>-1.7799999999999996</v>
      </c>
      <c r="D5">
        <f>COUNTA(H5:AB5)</f>
        <v>4</v>
      </c>
      <c r="E5">
        <f>COUNTIF(H5:AB5, "&gt;0")</f>
        <v>3</v>
      </c>
      <c r="F5">
        <f>COUNTIF(H5:AB5, "=0")</f>
        <v>0</v>
      </c>
      <c r="G5">
        <f>COUNTIF(H5:AB5, "&lt;0")</f>
        <v>1</v>
      </c>
      <c r="H5" s="17">
        <v>3.2</v>
      </c>
      <c r="I5" s="18">
        <v>1.2</v>
      </c>
      <c r="J5" s="18">
        <v>0.4</v>
      </c>
      <c r="K5" s="18">
        <v>-13.7</v>
      </c>
    </row>
    <row r="6" spans="1:13" x14ac:dyDescent="0.25">
      <c r="A6" s="6" t="s">
        <v>158</v>
      </c>
      <c r="B6">
        <f>SUM(H6:AB6)</f>
        <v>4.0999999999999996</v>
      </c>
      <c r="C6">
        <f>(B6/$C$1)*100</f>
        <v>0.81999999999999984</v>
      </c>
      <c r="D6">
        <f>COUNTA(H6:AB6)</f>
        <v>4</v>
      </c>
      <c r="E6">
        <f>COUNTIF(H6:AB6, "&gt;0")</f>
        <v>2</v>
      </c>
      <c r="F6">
        <f>COUNTIF(H6:AB6, "=0")</f>
        <v>0</v>
      </c>
      <c r="G6">
        <f>COUNTIF(H6:AB6, "&lt;0")</f>
        <v>2</v>
      </c>
      <c r="H6" s="17">
        <v>4.5</v>
      </c>
      <c r="I6" s="17">
        <v>7.2</v>
      </c>
      <c r="J6" s="17">
        <v>-4.7</v>
      </c>
      <c r="K6" s="18">
        <v>-2.9</v>
      </c>
    </row>
    <row r="7" spans="1:13" x14ac:dyDescent="0.25">
      <c r="A7" s="5" t="s">
        <v>63</v>
      </c>
      <c r="B7">
        <f>SUM(H7:AB7)</f>
        <v>-14.6</v>
      </c>
      <c r="C7">
        <f>(B7/$C$1)*100</f>
        <v>-2.92</v>
      </c>
      <c r="D7">
        <f>COUNTA(H7:AB7)</f>
        <v>3</v>
      </c>
      <c r="E7">
        <f>COUNTIF(H7:AB7, "&gt;0")</f>
        <v>1</v>
      </c>
      <c r="F7">
        <f>COUNTIF(H7:AB7, "=0")</f>
        <v>0</v>
      </c>
      <c r="G7">
        <f>COUNTIF(H7:AB7, "&lt;0")</f>
        <v>2</v>
      </c>
      <c r="H7" s="17">
        <v>-0.9</v>
      </c>
      <c r="I7" s="18">
        <v>1.5</v>
      </c>
      <c r="J7" s="18">
        <v>-15.2</v>
      </c>
    </row>
    <row r="8" spans="1:13" x14ac:dyDescent="0.25">
      <c r="A8" s="8" t="s">
        <v>148</v>
      </c>
      <c r="B8">
        <f>SUM(H8:AB8)</f>
        <v>4.0999999999999996</v>
      </c>
      <c r="C8">
        <f>(B8/$C$1)*100</f>
        <v>0.81999999999999984</v>
      </c>
      <c r="D8">
        <f>COUNTA(H8:AB8)</f>
        <v>3</v>
      </c>
      <c r="E8">
        <f>COUNTIF(H8:AB8, "&gt;0")</f>
        <v>2</v>
      </c>
      <c r="F8">
        <f>COUNTIF(H8:AB8, "=0")</f>
        <v>0</v>
      </c>
      <c r="G8">
        <f>COUNTIF(H8:AB8, "&lt;0")</f>
        <v>1</v>
      </c>
      <c r="H8" s="17">
        <v>3.6</v>
      </c>
      <c r="I8" s="17">
        <v>-0.9</v>
      </c>
      <c r="J8" s="17">
        <v>1.4</v>
      </c>
      <c r="K8" s="15"/>
    </row>
    <row r="9" spans="1:13" x14ac:dyDescent="0.25">
      <c r="A9" t="s">
        <v>130</v>
      </c>
      <c r="B9">
        <f>SUM(H9:AB9)</f>
        <v>5.0999999999999996</v>
      </c>
      <c r="C9">
        <f>(B9/$C$1)*100</f>
        <v>1.0199999999999998</v>
      </c>
      <c r="D9">
        <f>COUNTA(H9:AB9)</f>
        <v>3</v>
      </c>
      <c r="E9">
        <f>COUNTIF(H9:AB9, "&gt;0")</f>
        <v>2</v>
      </c>
      <c r="F9">
        <f>COUNTIF(H9:AB9, "=0")</f>
        <v>0</v>
      </c>
      <c r="G9">
        <f>COUNTIF(H9:AB9, "&lt;0")</f>
        <v>1</v>
      </c>
      <c r="H9" s="18">
        <v>-0.7</v>
      </c>
      <c r="I9" s="18">
        <v>2.7</v>
      </c>
      <c r="J9" s="18">
        <v>3.1</v>
      </c>
    </row>
    <row r="10" spans="1:13" x14ac:dyDescent="0.25">
      <c r="A10" t="s">
        <v>152</v>
      </c>
      <c r="B10">
        <f>SUM(H10:AB10)</f>
        <v>1.5</v>
      </c>
      <c r="C10">
        <f>(B10/$C$1)*100</f>
        <v>0.3</v>
      </c>
      <c r="D10">
        <f>COUNTA(H10:AB10)</f>
        <v>3</v>
      </c>
      <c r="E10">
        <f>COUNTIF(H10:AB10, "&gt;0")</f>
        <v>1</v>
      </c>
      <c r="F10">
        <f>COUNTIF(H10:AB10, "=0")</f>
        <v>0</v>
      </c>
      <c r="G10">
        <f>COUNTIF(H10:AB10, "&lt;0")</f>
        <v>2</v>
      </c>
      <c r="H10" s="17">
        <v>-2</v>
      </c>
      <c r="I10" s="18">
        <v>-1.3</v>
      </c>
      <c r="J10" s="18">
        <v>4.8</v>
      </c>
    </row>
    <row r="11" spans="1:13" x14ac:dyDescent="0.25">
      <c r="A11" s="8" t="s">
        <v>150</v>
      </c>
      <c r="B11">
        <f>SUM(H11:AB11)</f>
        <v>4.1000000000000005</v>
      </c>
      <c r="C11">
        <f>(B11/$C$1)*100</f>
        <v>0.82000000000000006</v>
      </c>
      <c r="D11">
        <f>COUNTA(H11:AB11)</f>
        <v>3</v>
      </c>
      <c r="E11">
        <f>COUNTIF(H11:AB11, "&gt;0")</f>
        <v>2</v>
      </c>
      <c r="F11">
        <f>COUNTIF(H11:AB11, "=0")</f>
        <v>0</v>
      </c>
      <c r="G11">
        <f>COUNTIF(H11:AB11, "&lt;0")</f>
        <v>1</v>
      </c>
      <c r="H11" s="18">
        <v>7.8</v>
      </c>
      <c r="I11" s="18">
        <v>-8.1999999999999993</v>
      </c>
      <c r="J11" s="18">
        <v>4.5</v>
      </c>
    </row>
    <row r="12" spans="1:13" x14ac:dyDescent="0.25">
      <c r="A12" s="8" t="s">
        <v>146</v>
      </c>
      <c r="B12">
        <f>SUM(H12:AB12)</f>
        <v>-8.6999999999999993</v>
      </c>
      <c r="C12">
        <f>(B12/$C$1)*100</f>
        <v>-1.7399999999999998</v>
      </c>
      <c r="D12">
        <f>COUNTA(H12:AB12)</f>
        <v>3</v>
      </c>
      <c r="E12">
        <f>COUNTIF(H12:AB12, "&gt;0")</f>
        <v>0</v>
      </c>
      <c r="F12">
        <f>COUNTIF(H12:AB12, "=0")</f>
        <v>1</v>
      </c>
      <c r="G12">
        <f>COUNTIF(H12:AB12, "&lt;0")</f>
        <v>2</v>
      </c>
      <c r="H12" s="17">
        <v>0</v>
      </c>
      <c r="I12" s="18">
        <v>-5.2</v>
      </c>
      <c r="J12" s="18">
        <v>-3.5</v>
      </c>
    </row>
    <row r="13" spans="1:13" x14ac:dyDescent="0.25">
      <c r="A13" s="6" t="s">
        <v>60</v>
      </c>
      <c r="B13">
        <f>SUM(H13:AB13)</f>
        <v>0.8</v>
      </c>
      <c r="C13">
        <f>(B13/$C$1)*100</f>
        <v>0.16</v>
      </c>
      <c r="D13">
        <f>COUNTA(H13:AB13)</f>
        <v>1</v>
      </c>
      <c r="E13">
        <f>COUNTIF(H13:AB13, "&gt;0")</f>
        <v>1</v>
      </c>
      <c r="F13">
        <f>COUNTIF(H13:AB13, "=0")</f>
        <v>0</v>
      </c>
      <c r="G13">
        <f>COUNTIF(H13:AB13, "&lt;0")</f>
        <v>0</v>
      </c>
      <c r="H13" s="17">
        <v>0.8</v>
      </c>
      <c r="I13" s="15"/>
      <c r="J13" s="15"/>
    </row>
    <row r="14" spans="1:13" x14ac:dyDescent="0.25">
      <c r="A14" t="s">
        <v>138</v>
      </c>
      <c r="B14">
        <f>SUM(H14:AB14)</f>
        <v>1.4</v>
      </c>
      <c r="C14">
        <f>(B14/$C$1)*100</f>
        <v>0.27999999999999997</v>
      </c>
      <c r="D14">
        <f>COUNTA(H14:AB14)</f>
        <v>1</v>
      </c>
      <c r="E14">
        <f>COUNTIF(H14:AB14, "&gt;0")</f>
        <v>1</v>
      </c>
      <c r="F14">
        <f>COUNTIF(H14:AB14, "=0")</f>
        <v>0</v>
      </c>
      <c r="G14">
        <f>COUNTIF(H14:AB14, "&lt;0")</f>
        <v>0</v>
      </c>
      <c r="H14" s="17">
        <v>1.4</v>
      </c>
      <c r="I14" s="15"/>
      <c r="J14" s="15"/>
    </row>
    <row r="15" spans="1:13" x14ac:dyDescent="0.25">
      <c r="A15" s="8" t="s">
        <v>89</v>
      </c>
      <c r="B15">
        <f>SUM(H15:AB15)</f>
        <v>4.4000000000000004</v>
      </c>
      <c r="C15">
        <f>(B15/$C$1)*100</f>
        <v>0.88</v>
      </c>
      <c r="D15">
        <f>COUNTA(H15:AB15)</f>
        <v>1</v>
      </c>
      <c r="E15">
        <f>COUNTIF(H15:AB15, "&gt;0")</f>
        <v>1</v>
      </c>
      <c r="F15">
        <f>COUNTIF(H15:AB15, "=0")</f>
        <v>0</v>
      </c>
      <c r="G15">
        <f>COUNTIF(H15:AB15, "&lt;0")</f>
        <v>0</v>
      </c>
      <c r="H15" s="18">
        <v>4.4000000000000004</v>
      </c>
    </row>
    <row r="16" spans="1:13" x14ac:dyDescent="0.25">
      <c r="A16" t="s">
        <v>54</v>
      </c>
      <c r="B16">
        <f>SUM(H16:AB16)</f>
        <v>-0.3</v>
      </c>
      <c r="C16">
        <f>(B16/$C$1)*100</f>
        <v>-0.06</v>
      </c>
      <c r="D16">
        <f>COUNTA(H16:AB16)</f>
        <v>1</v>
      </c>
      <c r="E16">
        <f>COUNTIF(H16:AB16, "&gt;0")</f>
        <v>0</v>
      </c>
      <c r="F16">
        <f>COUNTIF(H16:AB16, "=0")</f>
        <v>0</v>
      </c>
      <c r="G16">
        <f>COUNTIF(H16:AB16, "&lt;0")</f>
        <v>1</v>
      </c>
      <c r="H16" s="17">
        <v>-0.3</v>
      </c>
    </row>
    <row r="17" spans="1:10" x14ac:dyDescent="0.25">
      <c r="A17" s="4" t="s">
        <v>87</v>
      </c>
      <c r="B17">
        <f>SUM(H17:AB17)</f>
        <v>-1.5</v>
      </c>
      <c r="C17">
        <f>(B17/$C$1)*100</f>
        <v>-0.3</v>
      </c>
      <c r="D17">
        <f>COUNTA(H17:AB17)</f>
        <v>1</v>
      </c>
      <c r="E17">
        <f>COUNTIF(H17:AB17, "&gt;0")</f>
        <v>0</v>
      </c>
      <c r="F17">
        <f>COUNTIF(H17:AB17, "=0")</f>
        <v>0</v>
      </c>
      <c r="G17">
        <f>COUNTIF(H17:AB17, "&lt;0")</f>
        <v>1</v>
      </c>
      <c r="H17" s="18">
        <v>-1.5</v>
      </c>
    </row>
    <row r="18" spans="1:10" x14ac:dyDescent="0.25">
      <c r="A18" t="s">
        <v>83</v>
      </c>
      <c r="B18">
        <f>SUM(H18:AB18)</f>
        <v>6.5</v>
      </c>
      <c r="C18">
        <f>(B18/$C$1)*100</f>
        <v>1.3</v>
      </c>
      <c r="D18">
        <f>COUNTA(H18:AB18)</f>
        <v>1</v>
      </c>
      <c r="E18">
        <f>COUNTIF(H18:AB18, "&gt;0")</f>
        <v>1</v>
      </c>
      <c r="F18">
        <f>COUNTIF(H18:AB18, "=0")</f>
        <v>0</v>
      </c>
      <c r="G18">
        <f>COUNTIF(H18:AB18, "&lt;0")</f>
        <v>0</v>
      </c>
      <c r="H18" s="17">
        <v>6.5</v>
      </c>
    </row>
    <row r="19" spans="1:10" x14ac:dyDescent="0.25">
      <c r="A19" t="s">
        <v>136</v>
      </c>
      <c r="B19">
        <f>SUM(H19:AB19)</f>
        <v>-4.5</v>
      </c>
      <c r="C19">
        <f>(B19/$C$1)*100</f>
        <v>-0.89999999999999991</v>
      </c>
      <c r="D19">
        <f>COUNTA(H19:AB19)</f>
        <v>1</v>
      </c>
      <c r="E19">
        <f>COUNTIF(H19:AB19, "&gt;0")</f>
        <v>0</v>
      </c>
      <c r="F19">
        <f>COUNTIF(H19:AB19, "=0")</f>
        <v>0</v>
      </c>
      <c r="G19">
        <f>COUNTIF(H19:AB19, "&lt;0")</f>
        <v>1</v>
      </c>
      <c r="H19" s="17">
        <v>-4.5</v>
      </c>
      <c r="I19" s="15"/>
      <c r="J19" s="15"/>
    </row>
    <row r="20" spans="1:10" x14ac:dyDescent="0.25">
      <c r="A20" t="s">
        <v>53</v>
      </c>
      <c r="B20">
        <f>SUM(H20:AB20)</f>
        <v>-4.5</v>
      </c>
      <c r="C20">
        <f>(B20/$C$1)*100</f>
        <v>-0.89999999999999991</v>
      </c>
      <c r="D20">
        <f>COUNTA(H20:AB20)</f>
        <v>1</v>
      </c>
      <c r="E20">
        <f>COUNTIF(H20:AB20, "&gt;0")</f>
        <v>0</v>
      </c>
      <c r="F20">
        <f>COUNTIF(H20:AB20, "=0")</f>
        <v>0</v>
      </c>
      <c r="G20">
        <f>COUNTIF(H20:AB20, "&lt;0")</f>
        <v>1</v>
      </c>
      <c r="H20" s="18">
        <v>-4.5</v>
      </c>
    </row>
    <row r="21" spans="1:10" x14ac:dyDescent="0.25">
      <c r="A21" s="8" t="s">
        <v>132</v>
      </c>
      <c r="B21">
        <f>SUM(H21:AB21)</f>
        <v>-4.2</v>
      </c>
      <c r="C21">
        <f>(B21/$C$1)*100</f>
        <v>-0.84000000000000008</v>
      </c>
      <c r="D21">
        <f>COUNTA(H21:AB21)</f>
        <v>1</v>
      </c>
      <c r="E21">
        <f>COUNTIF(H21:AB21, "&gt;0")</f>
        <v>0</v>
      </c>
      <c r="F21">
        <f>COUNTIF(H21:AB21, "=0")</f>
        <v>0</v>
      </c>
      <c r="G21">
        <f>COUNTIF(H21:AB21, "&lt;0")</f>
        <v>1</v>
      </c>
      <c r="H21" s="17">
        <v>-4.2</v>
      </c>
    </row>
    <row r="22" spans="1:10" x14ac:dyDescent="0.25">
      <c r="A22" s="8" t="s">
        <v>142</v>
      </c>
      <c r="B22">
        <f>SUM(H22:AB22)</f>
        <v>1.4</v>
      </c>
      <c r="C22">
        <f>(B22/$C$1)*100</f>
        <v>0.27999999999999997</v>
      </c>
      <c r="D22">
        <f>COUNTA(H22:AB22)</f>
        <v>1</v>
      </c>
      <c r="E22">
        <f>COUNTIF(H22:AB22, "&gt;0")</f>
        <v>1</v>
      </c>
      <c r="F22">
        <f>COUNTIF(H22:AB22, "=0")</f>
        <v>0</v>
      </c>
      <c r="G22">
        <f>COUNTIF(H22:AB22, "&lt;0")</f>
        <v>0</v>
      </c>
      <c r="H22" s="17">
        <v>1.4</v>
      </c>
    </row>
    <row r="23" spans="1:10" x14ac:dyDescent="0.25">
      <c r="A23" s="8" t="s">
        <v>144</v>
      </c>
      <c r="B23">
        <f>SUM(H23:AB23)</f>
        <v>-6.9</v>
      </c>
      <c r="C23">
        <f>(B23/$C$1)*100</f>
        <v>-1.3800000000000001</v>
      </c>
      <c r="D23">
        <f>COUNTA(H23:AB23)</f>
        <v>1</v>
      </c>
      <c r="E23">
        <f>COUNTIF(H23:AB23, "&gt;0")</f>
        <v>0</v>
      </c>
      <c r="F23">
        <f>COUNTIF(H23:AB23, "=0")</f>
        <v>0</v>
      </c>
      <c r="G23">
        <f>COUNTIF(H23:AB23, "&lt;0")</f>
        <v>1</v>
      </c>
      <c r="H23" s="18">
        <v>-6.9</v>
      </c>
    </row>
    <row r="24" spans="1:10" x14ac:dyDescent="0.25">
      <c r="A24" t="s">
        <v>157</v>
      </c>
      <c r="B24">
        <f>SUM(H24:AB24)</f>
        <v>0</v>
      </c>
      <c r="C24">
        <f>(B24/$C$1)*100</f>
        <v>0</v>
      </c>
      <c r="D24">
        <f>COUNTA(H24:AB24)</f>
        <v>1</v>
      </c>
      <c r="E24">
        <f>COUNTIF(H24:AB24, "&gt;0")</f>
        <v>0</v>
      </c>
      <c r="F24">
        <f>COUNTIF(H24:AB24, "=0")</f>
        <v>1</v>
      </c>
      <c r="G24">
        <f>COUNTIF(H24:AB24, "&lt;0")</f>
        <v>0</v>
      </c>
      <c r="H24" s="18">
        <v>0</v>
      </c>
    </row>
    <row r="25" spans="1:10" x14ac:dyDescent="0.25">
      <c r="A25" s="6" t="s">
        <v>160</v>
      </c>
      <c r="B25">
        <f>SUM(H25:AB25)</f>
        <v>-0.9</v>
      </c>
      <c r="C25">
        <f>(B25/$C$1)*100</f>
        <v>-0.18</v>
      </c>
      <c r="D25">
        <f>COUNTA(H25:AB25)</f>
        <v>1</v>
      </c>
      <c r="E25">
        <f>COUNTIF(H25:AB25, "&gt;0")</f>
        <v>0</v>
      </c>
      <c r="F25">
        <f>COUNTIF(H25:AB25, "=0")</f>
        <v>0</v>
      </c>
      <c r="G25">
        <f>COUNTIF(H25:AB25, "&lt;0")</f>
        <v>1</v>
      </c>
      <c r="H25" s="17">
        <v>-0.9</v>
      </c>
    </row>
    <row r="26" spans="1:10" x14ac:dyDescent="0.25">
      <c r="A26" s="8" t="s">
        <v>161</v>
      </c>
      <c r="B26">
        <f>SUM(H26:AB26)</f>
        <v>-2.5</v>
      </c>
      <c r="C26">
        <f>(B26/$C$1)*100</f>
        <v>-0.5</v>
      </c>
      <c r="D26">
        <f>COUNTA(H26:AB26)</f>
        <v>1</v>
      </c>
      <c r="E26">
        <f>COUNTIF(H26:AB26, "&gt;0")</f>
        <v>0</v>
      </c>
      <c r="F26">
        <f>COUNTIF(H26:AB26, "=0")</f>
        <v>0</v>
      </c>
      <c r="G26">
        <f>COUNTIF(H26:AB26, "&lt;0")</f>
        <v>1</v>
      </c>
      <c r="H26" s="18">
        <v>-2.5</v>
      </c>
    </row>
    <row r="27" spans="1:10" x14ac:dyDescent="0.25">
      <c r="A27" s="6" t="s">
        <v>162</v>
      </c>
      <c r="B27">
        <f>SUM(H27:AB27)</f>
        <v>-5.5</v>
      </c>
      <c r="C27">
        <f>(B27/$C$1)*100</f>
        <v>-1.0999999999999999</v>
      </c>
      <c r="D27">
        <f>COUNTA(H27:AB27)</f>
        <v>1</v>
      </c>
      <c r="E27">
        <f>COUNTIF(H27:AB27, "&gt;0")</f>
        <v>0</v>
      </c>
      <c r="F27">
        <f>COUNTIF(H27:AB27, "=0")</f>
        <v>0</v>
      </c>
      <c r="G27">
        <f>COUNTIF(H27:AB27, "&lt;0")</f>
        <v>1</v>
      </c>
      <c r="H27" s="18">
        <v>-5.5</v>
      </c>
    </row>
    <row r="28" spans="1:10" x14ac:dyDescent="0.25">
      <c r="A28" s="4" t="s">
        <v>163</v>
      </c>
      <c r="B28">
        <f>SUM(H28:AB28)</f>
        <v>-0.5</v>
      </c>
      <c r="C28">
        <f>(B28/$C$1)*100</f>
        <v>-0.1</v>
      </c>
      <c r="D28">
        <f>COUNTA(H28:AB28)</f>
        <v>1</v>
      </c>
      <c r="E28">
        <f>COUNTIF(H28:AB28, "&gt;0")</f>
        <v>0</v>
      </c>
      <c r="F28">
        <f>COUNTIF(H28:AB28, "=0")</f>
        <v>0</v>
      </c>
      <c r="G28">
        <f>COUNTIF(H28:AB28, "&lt;0")</f>
        <v>1</v>
      </c>
      <c r="H28" s="18">
        <v>-0.5</v>
      </c>
    </row>
    <row r="29" spans="1:10" x14ac:dyDescent="0.25">
      <c r="A29" t="s">
        <v>59</v>
      </c>
      <c r="B29">
        <f>SUM(H29:AB29)</f>
        <v>0</v>
      </c>
      <c r="C29">
        <f>(B29/$C$1)*100</f>
        <v>0</v>
      </c>
      <c r="D29">
        <f>COUNTA(H29:AB29)</f>
        <v>0</v>
      </c>
      <c r="E29">
        <f>COUNTIF(H29:AB29, "&gt;0")</f>
        <v>0</v>
      </c>
      <c r="F29">
        <f>COUNTIF(H29:AB29, "=0")</f>
        <v>0</v>
      </c>
      <c r="G29">
        <f>COUNTIF(H29:AB29, "&lt;0")</f>
        <v>0</v>
      </c>
    </row>
    <row r="30" spans="1:10" x14ac:dyDescent="0.25">
      <c r="A30" s="8" t="s">
        <v>66</v>
      </c>
      <c r="B30">
        <f>SUM(H30:AB30)</f>
        <v>0</v>
      </c>
      <c r="C30">
        <f>(B30/$C$1)*100</f>
        <v>0</v>
      </c>
      <c r="D30">
        <f>COUNTA(H30:AB30)</f>
        <v>0</v>
      </c>
      <c r="E30">
        <f>COUNTIF(H30:AB30, "&gt;0")</f>
        <v>0</v>
      </c>
      <c r="F30">
        <f>COUNTIF(H30:AB30, "=0")</f>
        <v>0</v>
      </c>
      <c r="G30">
        <f>COUNTIF(H30:AB30, "&lt;0")</f>
        <v>0</v>
      </c>
      <c r="H30" s="15"/>
    </row>
    <row r="31" spans="1:10" x14ac:dyDescent="0.25">
      <c r="A31" s="4" t="s">
        <v>62</v>
      </c>
      <c r="B31">
        <f>SUM(H31:AB31)</f>
        <v>0</v>
      </c>
      <c r="C31">
        <f>(B31/$C$1)*100</f>
        <v>0</v>
      </c>
      <c r="D31">
        <f>COUNTA(H31:AB31)</f>
        <v>0</v>
      </c>
      <c r="E31">
        <f>COUNTIF(H31:AB31, "&gt;0")</f>
        <v>0</v>
      </c>
      <c r="F31">
        <f>COUNTIF(H31:AB31, "=0")</f>
        <v>0</v>
      </c>
      <c r="G31">
        <f>COUNTIF(H31:AB31, "&lt;0")</f>
        <v>0</v>
      </c>
    </row>
    <row r="32" spans="1:10" x14ac:dyDescent="0.25">
      <c r="A32" t="s">
        <v>56</v>
      </c>
      <c r="B32">
        <f>SUM(H32:AB32)</f>
        <v>0</v>
      </c>
      <c r="C32">
        <f>(B32/$C$1)*100</f>
        <v>0</v>
      </c>
      <c r="D32">
        <f>COUNTA(H32:AB32)</f>
        <v>0</v>
      </c>
      <c r="E32">
        <f>COUNTIF(H32:AB32, "&gt;0")</f>
        <v>0</v>
      </c>
      <c r="F32">
        <f>COUNTIF(H32:AB32, "=0")</f>
        <v>0</v>
      </c>
      <c r="G32">
        <f>COUNTIF(H32:AB32, "&lt;0")</f>
        <v>0</v>
      </c>
    </row>
    <row r="33" spans="1:10" x14ac:dyDescent="0.25">
      <c r="A33" s="8" t="s">
        <v>95</v>
      </c>
      <c r="B33">
        <f>SUM(H33:AB33)</f>
        <v>0</v>
      </c>
      <c r="C33">
        <f>(B33/$C$1)*100</f>
        <v>0</v>
      </c>
      <c r="D33">
        <f>COUNTA(H33:AB33)</f>
        <v>0</v>
      </c>
      <c r="E33">
        <f>COUNTIF(H33:AB33, "&gt;0")</f>
        <v>0</v>
      </c>
      <c r="F33">
        <f>COUNTIF(H33:AB33, "=0")</f>
        <v>0</v>
      </c>
      <c r="G33">
        <f>COUNTIF(H33:AB33, "&lt;0")</f>
        <v>0</v>
      </c>
    </row>
    <row r="34" spans="1:10" x14ac:dyDescent="0.25">
      <c r="A34" s="8" t="s">
        <v>64</v>
      </c>
      <c r="B34">
        <f>SUM(H34:AB34)</f>
        <v>0</v>
      </c>
      <c r="C34">
        <f>(B34/$C$1)*100</f>
        <v>0</v>
      </c>
      <c r="D34">
        <f>COUNTA(H34:AB34)</f>
        <v>0</v>
      </c>
      <c r="E34">
        <f>COUNTIF(H34:AB34, "&gt;0")</f>
        <v>0</v>
      </c>
      <c r="F34">
        <f>COUNTIF(H34:AB34, "=0")</f>
        <v>0</v>
      </c>
      <c r="G34">
        <f>COUNTIF(H34:AB34, "&lt;0")</f>
        <v>0</v>
      </c>
    </row>
    <row r="35" spans="1:10" x14ac:dyDescent="0.25">
      <c r="A35" s="6" t="s">
        <v>84</v>
      </c>
      <c r="B35">
        <f>SUM(H35:AB35)</f>
        <v>0</v>
      </c>
      <c r="C35">
        <f>(B35/$C$1)*100</f>
        <v>0</v>
      </c>
      <c r="D35">
        <f>COUNTA(H35:AB35)</f>
        <v>0</v>
      </c>
      <c r="E35">
        <f>COUNTIF(H35:AB35, "&gt;0")</f>
        <v>0</v>
      </c>
      <c r="F35">
        <f>COUNTIF(H35:AB35, "=0")</f>
        <v>0</v>
      </c>
      <c r="G35">
        <f>COUNTIF(H35:AB35, "&lt;0")</f>
        <v>0</v>
      </c>
    </row>
    <row r="36" spans="1:10" x14ac:dyDescent="0.25">
      <c r="A36" t="s">
        <v>134</v>
      </c>
      <c r="B36">
        <f>SUM(H36:AB36)</f>
        <v>0</v>
      </c>
      <c r="C36">
        <f>(B36/$C$1)*100</f>
        <v>0</v>
      </c>
      <c r="D36">
        <f>COUNTA(H36:AB36)</f>
        <v>0</v>
      </c>
      <c r="E36">
        <f>COUNTIF(H36:AB36, "&gt;0")</f>
        <v>0</v>
      </c>
      <c r="F36">
        <f>COUNTIF(H36:AB36, "=0")</f>
        <v>0</v>
      </c>
      <c r="G36">
        <f>COUNTIF(H36:AB36, "&lt;0")</f>
        <v>0</v>
      </c>
    </row>
    <row r="37" spans="1:10" x14ac:dyDescent="0.25">
      <c r="A37" t="s">
        <v>61</v>
      </c>
      <c r="B37">
        <f>SUM(H37:AB37)</f>
        <v>0</v>
      </c>
      <c r="C37">
        <f>(B37/$C$1)*100</f>
        <v>0</v>
      </c>
      <c r="D37">
        <f>COUNTA(H37:AB37)</f>
        <v>0</v>
      </c>
      <c r="E37">
        <f>COUNTIF(H37:AB37, "&gt;0")</f>
        <v>0</v>
      </c>
      <c r="F37">
        <f>COUNTIF(H37:AB37, "=0")</f>
        <v>0</v>
      </c>
      <c r="G37">
        <f>COUNTIF(H37:AB37, "&lt;0")</f>
        <v>0</v>
      </c>
    </row>
    <row r="38" spans="1:10" x14ac:dyDescent="0.25">
      <c r="A38" t="s">
        <v>72</v>
      </c>
      <c r="B38">
        <f>SUM(H38:AB38)</f>
        <v>0</v>
      </c>
      <c r="C38">
        <f>(B38/$C$1)*100</f>
        <v>0</v>
      </c>
      <c r="D38">
        <f>COUNTA(H38:AB38)</f>
        <v>0</v>
      </c>
      <c r="E38">
        <f>COUNTIF(H38:AB38, "&gt;0")</f>
        <v>0</v>
      </c>
      <c r="F38">
        <f>COUNTIF(H38:AB38, "=0")</f>
        <v>0</v>
      </c>
      <c r="G38">
        <f>COUNTIF(H38:AB38, "&lt;0")</f>
        <v>0</v>
      </c>
    </row>
    <row r="39" spans="1:10" x14ac:dyDescent="0.25">
      <c r="A39" t="s">
        <v>139</v>
      </c>
      <c r="B39">
        <f>SUM(H39:AB39)</f>
        <v>0</v>
      </c>
      <c r="C39">
        <f>(B39/$C$1)*100</f>
        <v>0</v>
      </c>
      <c r="D39">
        <f>COUNTA(H39:AB39)</f>
        <v>0</v>
      </c>
      <c r="E39">
        <f>COUNTIF(H39:AB39, "&gt;0")</f>
        <v>0</v>
      </c>
      <c r="F39">
        <f>COUNTIF(H39:AB39, "=0")</f>
        <v>0</v>
      </c>
      <c r="G39">
        <f>COUNTIF(H39:AB39, "&lt;0")</f>
        <v>0</v>
      </c>
    </row>
    <row r="40" spans="1:10" x14ac:dyDescent="0.25">
      <c r="A40" t="s">
        <v>58</v>
      </c>
      <c r="B40">
        <f>SUM(H40:AB40)</f>
        <v>0</v>
      </c>
      <c r="C40">
        <f>(B40/$C$1)*100</f>
        <v>0</v>
      </c>
      <c r="D40">
        <f>COUNTA(H40:AB40)</f>
        <v>0</v>
      </c>
      <c r="E40">
        <f>COUNTIF(H40:AB40, "&gt;0")</f>
        <v>0</v>
      </c>
      <c r="F40">
        <f>COUNTIF(H40:AB40, "=0")</f>
        <v>0</v>
      </c>
      <c r="G40">
        <f>COUNTIF(H40:AB40, "&lt;0")</f>
        <v>0</v>
      </c>
    </row>
    <row r="41" spans="1:10" x14ac:dyDescent="0.25">
      <c r="A41" t="s">
        <v>74</v>
      </c>
      <c r="B41">
        <f>SUM(H41:AB41)</f>
        <v>0</v>
      </c>
      <c r="C41">
        <f>(B41/$C$1)*100</f>
        <v>0</v>
      </c>
      <c r="D41">
        <f>COUNTA(H41:AB41)</f>
        <v>0</v>
      </c>
      <c r="E41">
        <f>COUNTIF(H41:AB41, "&gt;0")</f>
        <v>0</v>
      </c>
      <c r="F41">
        <f>COUNTIF(H41:AB41, "=0")</f>
        <v>0</v>
      </c>
      <c r="G41">
        <f>COUNTIF(H41:AB41, "&lt;0")</f>
        <v>0</v>
      </c>
    </row>
    <row r="42" spans="1:10" x14ac:dyDescent="0.25">
      <c r="A42" s="8" t="s">
        <v>79</v>
      </c>
      <c r="B42">
        <f>SUM(H42:AB42)</f>
        <v>0</v>
      </c>
      <c r="C42">
        <f>(B42/$C$1)*100</f>
        <v>0</v>
      </c>
      <c r="D42">
        <f>COUNTA(H42:AB42)</f>
        <v>0</v>
      </c>
      <c r="E42">
        <f>COUNTIF(H42:AB42, "&gt;0")</f>
        <v>0</v>
      </c>
      <c r="F42">
        <f>COUNTIF(H42:AB42, "=0")</f>
        <v>0</v>
      </c>
      <c r="G42">
        <f>COUNTIF(H42:AB42, "&lt;0")</f>
        <v>0</v>
      </c>
    </row>
    <row r="43" spans="1:10" x14ac:dyDescent="0.25">
      <c r="A43" s="8" t="s">
        <v>129</v>
      </c>
      <c r="B43">
        <f>SUM(H43:AB43)</f>
        <v>0</v>
      </c>
      <c r="C43">
        <f>(B43/$C$1)*100</f>
        <v>0</v>
      </c>
      <c r="D43">
        <f>COUNTA(H43:AB43)</f>
        <v>0</v>
      </c>
      <c r="E43">
        <f>COUNTIF(H43:AB43, "&gt;0")</f>
        <v>0</v>
      </c>
      <c r="F43">
        <f>COUNTIF(H43:AB43, "=0")</f>
        <v>0</v>
      </c>
      <c r="G43">
        <f>COUNTIF(H43:AB43, "&lt;0")</f>
        <v>0</v>
      </c>
    </row>
    <row r="44" spans="1:10" x14ac:dyDescent="0.25">
      <c r="A44" s="8" t="s">
        <v>147</v>
      </c>
      <c r="B44">
        <f>SUM(H44:AB44)</f>
        <v>0</v>
      </c>
      <c r="C44">
        <f>(B44/$C$1)*100</f>
        <v>0</v>
      </c>
      <c r="D44">
        <f>COUNTA(H44:AB44)</f>
        <v>0</v>
      </c>
      <c r="E44">
        <f>COUNTIF(H44:AB44, "&gt;0")</f>
        <v>0</v>
      </c>
      <c r="F44">
        <f>COUNTIF(H44:AB44, "=0")</f>
        <v>0</v>
      </c>
      <c r="G44">
        <f>COUNTIF(H44:AB44, "&lt;0")</f>
        <v>0</v>
      </c>
      <c r="H44" s="15"/>
      <c r="I44" s="15"/>
      <c r="J44" s="15"/>
    </row>
    <row r="45" spans="1:10" x14ac:dyDescent="0.25">
      <c r="A45" t="s">
        <v>80</v>
      </c>
      <c r="B45">
        <f>SUM(H45:AB45)</f>
        <v>0</v>
      </c>
      <c r="C45">
        <f>(B45/$C$1)*100</f>
        <v>0</v>
      </c>
      <c r="D45">
        <f>COUNTA(H45:AB45)</f>
        <v>0</v>
      </c>
      <c r="E45">
        <f>COUNTIF(H45:AB45, "&gt;0")</f>
        <v>0</v>
      </c>
      <c r="F45">
        <f>COUNTIF(H45:AB45, "=0")</f>
        <v>0</v>
      </c>
      <c r="G45">
        <f>COUNTIF(H45:AB45, "&lt;0")</f>
        <v>0</v>
      </c>
    </row>
    <row r="46" spans="1:10" x14ac:dyDescent="0.25">
      <c r="A46" t="s">
        <v>67</v>
      </c>
      <c r="B46">
        <f>SUM(H46:AB46)</f>
        <v>0</v>
      </c>
      <c r="C46">
        <f>(B46/$C$1)*100</f>
        <v>0</v>
      </c>
      <c r="D46">
        <f>COUNTA(H46:AB46)</f>
        <v>0</v>
      </c>
      <c r="E46">
        <f>COUNTIF(H46:AB46, "&gt;0")</f>
        <v>0</v>
      </c>
      <c r="F46">
        <f>COUNTIF(H46:AB46, "=0")</f>
        <v>0</v>
      </c>
      <c r="G46">
        <f>COUNTIF(H46:AB46, "&lt;0")</f>
        <v>0</v>
      </c>
    </row>
    <row r="47" spans="1:10" x14ac:dyDescent="0.25">
      <c r="A47" t="s">
        <v>85</v>
      </c>
      <c r="B47">
        <f>SUM(H47:AB47)</f>
        <v>0</v>
      </c>
      <c r="C47">
        <f>(B47/$C$1)*100</f>
        <v>0</v>
      </c>
      <c r="D47">
        <f>COUNTA(H47:AB47)</f>
        <v>0</v>
      </c>
      <c r="E47">
        <f>COUNTIF(H47:AB47, "&gt;0")</f>
        <v>0</v>
      </c>
      <c r="F47">
        <f>COUNTIF(H47:AB47, "=0")</f>
        <v>0</v>
      </c>
      <c r="G47">
        <f>COUNTIF(H47:AB47, "&lt;0")</f>
        <v>0</v>
      </c>
    </row>
    <row r="48" spans="1:10" x14ac:dyDescent="0.25">
      <c r="A48" s="6" t="s">
        <v>131</v>
      </c>
      <c r="B48">
        <f>SUM(H48:AB48)</f>
        <v>0</v>
      </c>
      <c r="C48">
        <f>(B48/$C$1)*100</f>
        <v>0</v>
      </c>
      <c r="D48">
        <f>COUNTA(H48:AB48)</f>
        <v>0</v>
      </c>
      <c r="E48">
        <f>COUNTIF(H48:AB48, "&gt;0")</f>
        <v>0</v>
      </c>
      <c r="F48">
        <f>COUNTIF(H48:AB48, "=0")</f>
        <v>0</v>
      </c>
      <c r="G48">
        <f>COUNTIF(H48:AB48, "&lt;0")</f>
        <v>0</v>
      </c>
      <c r="H48" s="15"/>
    </row>
    <row r="49" spans="1:8" x14ac:dyDescent="0.25">
      <c r="A49" s="4" t="s">
        <v>71</v>
      </c>
      <c r="B49">
        <f>SUM(H49:AB49)</f>
        <v>0</v>
      </c>
      <c r="C49">
        <f>(B49/$C$1)*100</f>
        <v>0</v>
      </c>
      <c r="D49">
        <f>COUNTA(H49:AB49)</f>
        <v>0</v>
      </c>
      <c r="E49">
        <f>COUNTIF(H49:AB49, "&gt;0")</f>
        <v>0</v>
      </c>
      <c r="F49">
        <f>COUNTIF(H49:AB49, "=0")</f>
        <v>0</v>
      </c>
      <c r="G49">
        <f>COUNTIF(H49:AB49, "&lt;0")</f>
        <v>0</v>
      </c>
    </row>
    <row r="50" spans="1:8" x14ac:dyDescent="0.25">
      <c r="A50" t="s">
        <v>145</v>
      </c>
      <c r="B50">
        <f>SUM(H50:AB50)</f>
        <v>0</v>
      </c>
      <c r="C50">
        <f>(B50/$C$1)*100</f>
        <v>0</v>
      </c>
      <c r="D50">
        <f>COUNTA(H50:AB50)</f>
        <v>0</v>
      </c>
      <c r="E50">
        <f>COUNTIF(H50:AB50, "&gt;0")</f>
        <v>0</v>
      </c>
      <c r="F50">
        <f>COUNTIF(H50:AB50, "=0")</f>
        <v>0</v>
      </c>
      <c r="G50">
        <f>COUNTIF(H50:AB50, "&lt;0")</f>
        <v>0</v>
      </c>
    </row>
    <row r="51" spans="1:8" x14ac:dyDescent="0.25">
      <c r="A51" t="s">
        <v>96</v>
      </c>
      <c r="B51">
        <f>SUM(H51:AB51)</f>
        <v>0</v>
      </c>
      <c r="C51">
        <f>(B51/$C$1)*100</f>
        <v>0</v>
      </c>
      <c r="D51">
        <f>COUNTA(H51:AB51)</f>
        <v>0</v>
      </c>
      <c r="E51">
        <f>COUNTIF(H51:AB51, "&gt;0")</f>
        <v>0</v>
      </c>
      <c r="F51">
        <f>COUNTIF(H51:AB51, "=0")</f>
        <v>0</v>
      </c>
      <c r="G51">
        <f>COUNTIF(H51:AB51, "&lt;0")</f>
        <v>0</v>
      </c>
    </row>
    <row r="52" spans="1:8" x14ac:dyDescent="0.25">
      <c r="A52" s="8" t="s">
        <v>86</v>
      </c>
      <c r="B52">
        <f>SUM(H52:AB52)</f>
        <v>0</v>
      </c>
      <c r="C52">
        <f>(B52/$C$1)*100</f>
        <v>0</v>
      </c>
      <c r="D52">
        <f>COUNTA(H52:AB52)</f>
        <v>0</v>
      </c>
      <c r="E52">
        <f>COUNTIF(H52:AB52, "&gt;0")</f>
        <v>0</v>
      </c>
      <c r="F52">
        <f>COUNTIF(H52:AB52, "=0")</f>
        <v>0</v>
      </c>
      <c r="G52">
        <f>COUNTIF(H52:AB52, "&lt;0")</f>
        <v>0</v>
      </c>
    </row>
    <row r="53" spans="1:8" x14ac:dyDescent="0.25">
      <c r="A53" t="s">
        <v>141</v>
      </c>
      <c r="B53">
        <f>SUM(H53:AB53)</f>
        <v>0</v>
      </c>
      <c r="C53">
        <f>(B53/$C$1)*100</f>
        <v>0</v>
      </c>
      <c r="D53">
        <f>COUNTA(H53:AB53)</f>
        <v>0</v>
      </c>
      <c r="E53">
        <f>COUNTIF(H53:AB53, "&gt;0")</f>
        <v>0</v>
      </c>
      <c r="F53">
        <f>COUNTIF(H53:AB53, "=0")</f>
        <v>0</v>
      </c>
      <c r="G53">
        <f>COUNTIF(H53:AB53, "&lt;0")</f>
        <v>0</v>
      </c>
      <c r="H53" s="15"/>
    </row>
    <row r="54" spans="1:8" x14ac:dyDescent="0.25">
      <c r="A54" s="4" t="s">
        <v>69</v>
      </c>
      <c r="B54">
        <f>SUM(H54:AB54)</f>
        <v>0</v>
      </c>
      <c r="C54">
        <f>(B54/$C$1)*100</f>
        <v>0</v>
      </c>
      <c r="D54">
        <f>COUNTA(H54:AB54)</f>
        <v>0</v>
      </c>
      <c r="E54">
        <f>COUNTIF(H54:AB54, "&gt;0")</f>
        <v>0</v>
      </c>
      <c r="F54">
        <f>COUNTIF(H54:AB54, "=0")</f>
        <v>0</v>
      </c>
      <c r="G54">
        <f>COUNTIF(H54:AB54, "&lt;0")</f>
        <v>0</v>
      </c>
    </row>
    <row r="55" spans="1:8" x14ac:dyDescent="0.25">
      <c r="A55" s="8" t="s">
        <v>88</v>
      </c>
      <c r="B55">
        <f>SUM(H55:AB55)</f>
        <v>0</v>
      </c>
      <c r="C55">
        <f>(B55/$C$1)*100</f>
        <v>0</v>
      </c>
      <c r="D55">
        <f>COUNTA(H55:AB55)</f>
        <v>0</v>
      </c>
      <c r="E55">
        <f>COUNTIF(H55:AB55, "&gt;0")</f>
        <v>0</v>
      </c>
      <c r="F55">
        <f>COUNTIF(H55:AB55, "=0")</f>
        <v>0</v>
      </c>
      <c r="G55">
        <f>COUNTIF(H55:AB55, "&lt;0")</f>
        <v>0</v>
      </c>
      <c r="H55" s="15"/>
    </row>
    <row r="56" spans="1:8" x14ac:dyDescent="0.25">
      <c r="A56" s="8" t="s">
        <v>143</v>
      </c>
      <c r="B56">
        <f>SUM(H56:AB56)</f>
        <v>0</v>
      </c>
      <c r="C56">
        <f>(B56/$C$1)*100</f>
        <v>0</v>
      </c>
      <c r="D56">
        <f>COUNTA(H56:AB56)</f>
        <v>0</v>
      </c>
      <c r="E56">
        <f>COUNTIF(H56:AB56, "&gt;0")</f>
        <v>0</v>
      </c>
      <c r="F56">
        <f>COUNTIF(H56:AB56, "=0")</f>
        <v>0</v>
      </c>
      <c r="G56">
        <f>COUNTIF(H56:AB56, "&lt;0")</f>
        <v>0</v>
      </c>
    </row>
    <row r="57" spans="1:8" x14ac:dyDescent="0.25">
      <c r="A57" s="8" t="s">
        <v>73</v>
      </c>
      <c r="B57">
        <f>SUM(H57:AB57)</f>
        <v>0</v>
      </c>
      <c r="C57">
        <f>(B57/$C$1)*100</f>
        <v>0</v>
      </c>
      <c r="D57">
        <f>COUNTA(H57:AB57)</f>
        <v>0</v>
      </c>
      <c r="E57">
        <f>COUNTIF(H57:AB57, "&gt;0")</f>
        <v>0</v>
      </c>
      <c r="F57">
        <f>COUNTIF(H57:AB57, "=0")</f>
        <v>0</v>
      </c>
      <c r="G57">
        <f>COUNTIF(H57:AB57, "&lt;0")</f>
        <v>0</v>
      </c>
    </row>
    <row r="58" spans="1:8" x14ac:dyDescent="0.25">
      <c r="A58" s="8" t="s">
        <v>82</v>
      </c>
      <c r="B58">
        <f>SUM(H58:AB58)</f>
        <v>0</v>
      </c>
      <c r="C58">
        <f>(B58/$C$1)*100</f>
        <v>0</v>
      </c>
      <c r="D58">
        <f>COUNTA(H58:AB58)</f>
        <v>0</v>
      </c>
      <c r="E58">
        <f>COUNTIF(H58:AB58, "&gt;0")</f>
        <v>0</v>
      </c>
      <c r="F58">
        <f>COUNTIF(H58:AB58, "=0")</f>
        <v>0</v>
      </c>
      <c r="G58">
        <f>COUNTIF(H58:AB58, "&lt;0")</f>
        <v>0</v>
      </c>
    </row>
    <row r="59" spans="1:8" x14ac:dyDescent="0.25">
      <c r="A59" t="s">
        <v>70</v>
      </c>
      <c r="B59">
        <f>SUM(H59:AB59)</f>
        <v>0</v>
      </c>
      <c r="C59">
        <f>(B59/$C$1)*100</f>
        <v>0</v>
      </c>
      <c r="D59">
        <f>COUNTA(H59:AB59)</f>
        <v>0</v>
      </c>
      <c r="E59">
        <f>COUNTIF(H59:AB59, "&gt;0")</f>
        <v>0</v>
      </c>
      <c r="F59">
        <f>COUNTIF(H59:AB59, "=0")</f>
        <v>0</v>
      </c>
      <c r="G59">
        <f>COUNTIF(H59:AB59, "&lt;0")</f>
        <v>0</v>
      </c>
    </row>
    <row r="60" spans="1:8" x14ac:dyDescent="0.25">
      <c r="A60" s="8" t="s">
        <v>151</v>
      </c>
      <c r="B60">
        <f>SUM(H60:AB60)</f>
        <v>0</v>
      </c>
      <c r="C60">
        <f>(B60/$C$1)*100</f>
        <v>0</v>
      </c>
      <c r="D60">
        <f>COUNTA(H60:AB60)</f>
        <v>0</v>
      </c>
      <c r="E60">
        <f>COUNTIF(H60:AB60, "&gt;0")</f>
        <v>0</v>
      </c>
      <c r="F60">
        <f>COUNTIF(H60:AB60, "=0")</f>
        <v>0</v>
      </c>
      <c r="G60">
        <f>COUNTIF(H60:AB60, "&lt;0")</f>
        <v>0</v>
      </c>
    </row>
    <row r="61" spans="1:8" x14ac:dyDescent="0.25">
      <c r="A61" t="s">
        <v>135</v>
      </c>
      <c r="B61">
        <f>SUM(H61:AB61)</f>
        <v>0</v>
      </c>
      <c r="C61">
        <f>(B61/$C$1)*100</f>
        <v>0</v>
      </c>
      <c r="D61">
        <f>COUNTA(H61:AB61)</f>
        <v>0</v>
      </c>
      <c r="E61">
        <f>COUNTIF(H61:AB61, "&gt;0")</f>
        <v>0</v>
      </c>
      <c r="F61">
        <f>COUNTIF(H61:AB61, "=0")</f>
        <v>0</v>
      </c>
      <c r="G61">
        <f>COUNTIF(H61:AB61, "&lt;0")</f>
        <v>0</v>
      </c>
      <c r="H61" s="15"/>
    </row>
    <row r="62" spans="1:8" x14ac:dyDescent="0.25">
      <c r="A62" t="s">
        <v>91</v>
      </c>
      <c r="B62">
        <f>SUM(H62:AB62)</f>
        <v>0</v>
      </c>
      <c r="C62">
        <f>(B62/$C$1)*100</f>
        <v>0</v>
      </c>
      <c r="D62">
        <f>COUNTA(H62:AB62)</f>
        <v>0</v>
      </c>
      <c r="E62">
        <f>COUNTIF(H62:AB62, "&gt;0")</f>
        <v>0</v>
      </c>
      <c r="F62">
        <f>COUNTIF(H62:AB62, "=0")</f>
        <v>0</v>
      </c>
      <c r="G62">
        <f>COUNTIF(H62:AB62, "&lt;0")</f>
        <v>0</v>
      </c>
    </row>
    <row r="63" spans="1:8" x14ac:dyDescent="0.25">
      <c r="A63" s="6" t="s">
        <v>65</v>
      </c>
      <c r="B63">
        <f>SUM(H63:AB63)</f>
        <v>0</v>
      </c>
      <c r="C63">
        <f>(B63/$C$1)*100</f>
        <v>0</v>
      </c>
      <c r="D63">
        <f>COUNTA(H63:AB63)</f>
        <v>0</v>
      </c>
      <c r="E63">
        <f>COUNTIF(H63:AB63, "&gt;0")</f>
        <v>0</v>
      </c>
      <c r="F63">
        <f>COUNTIF(H63:AB63, "=0")</f>
        <v>0</v>
      </c>
      <c r="G63">
        <f>COUNTIF(H63:AB63, "&lt;0")</f>
        <v>0</v>
      </c>
    </row>
    <row r="64" spans="1:8" x14ac:dyDescent="0.25">
      <c r="A64" t="s">
        <v>126</v>
      </c>
      <c r="B64">
        <f>SUM(H64:AB64)</f>
        <v>0</v>
      </c>
      <c r="C64">
        <f>(B64/$C$1)*100</f>
        <v>0</v>
      </c>
      <c r="D64">
        <f>COUNTA(H64:AB64)</f>
        <v>0</v>
      </c>
      <c r="E64">
        <f>COUNTIF(H64:AB64, "&gt;0")</f>
        <v>0</v>
      </c>
      <c r="F64">
        <f>COUNTIF(H64:AB64, "=0")</f>
        <v>0</v>
      </c>
      <c r="G64">
        <f>COUNTIF(H64:AB64, "&lt;0")</f>
        <v>0</v>
      </c>
    </row>
    <row r="65" spans="1:12" x14ac:dyDescent="0.25">
      <c r="A65" t="s">
        <v>128</v>
      </c>
      <c r="B65">
        <f>SUM(H65:AB65)</f>
        <v>0</v>
      </c>
      <c r="C65">
        <f>(B65/$C$1)*100</f>
        <v>0</v>
      </c>
      <c r="D65">
        <f>COUNTA(H65:AB65)</f>
        <v>0</v>
      </c>
      <c r="E65">
        <f>COUNTIF(H65:AB65, "&gt;0")</f>
        <v>0</v>
      </c>
      <c r="F65">
        <f>COUNTIF(H65:AB65, "=0")</f>
        <v>0</v>
      </c>
      <c r="G65">
        <f>COUNTIF(H65:AB65, "&lt;0")</f>
        <v>0</v>
      </c>
      <c r="H65" s="15"/>
    </row>
    <row r="66" spans="1:12" x14ac:dyDescent="0.25">
      <c r="A66" s="8" t="s">
        <v>52</v>
      </c>
      <c r="B66">
        <f>SUM(H66:AB66)</f>
        <v>0</v>
      </c>
      <c r="C66">
        <f>(B66/$C$1)*100</f>
        <v>0</v>
      </c>
      <c r="D66">
        <f>COUNTA(H66:AB66)</f>
        <v>0</v>
      </c>
      <c r="E66">
        <f>COUNTIF(H66:AB66, "&gt;0")</f>
        <v>0</v>
      </c>
      <c r="F66">
        <f>COUNTIF(H66:AB66, "=0")</f>
        <v>0</v>
      </c>
      <c r="G66">
        <f>COUNTIF(H66:AB66, "&lt;0")</f>
        <v>0</v>
      </c>
    </row>
    <row r="67" spans="1:12" x14ac:dyDescent="0.25">
      <c r="A67" s="8" t="s">
        <v>68</v>
      </c>
      <c r="B67">
        <f>SUM(H67:AB67)</f>
        <v>0</v>
      </c>
      <c r="C67">
        <f>(B67/$C$1)*100</f>
        <v>0</v>
      </c>
      <c r="D67">
        <f>COUNTA(H67:AB67)</f>
        <v>0</v>
      </c>
      <c r="E67">
        <f>COUNTIF(H67:AB67, "&gt;0")</f>
        <v>0</v>
      </c>
      <c r="F67">
        <f>COUNTIF(H67:AB67, "=0")</f>
        <v>0</v>
      </c>
      <c r="G67">
        <f>COUNTIF(H67:AB67, "&lt;0")</f>
        <v>0</v>
      </c>
      <c r="H67" s="15"/>
    </row>
    <row r="68" spans="1:12" x14ac:dyDescent="0.25">
      <c r="A68" s="8" t="s">
        <v>90</v>
      </c>
      <c r="B68">
        <f>SUM(H68:AB68)</f>
        <v>0</v>
      </c>
      <c r="C68">
        <f>(B68/$C$1)*100</f>
        <v>0</v>
      </c>
      <c r="D68">
        <f>COUNTA(H68:AB68)</f>
        <v>0</v>
      </c>
      <c r="E68">
        <f>COUNTIF(H68:AB68, "&gt;0")</f>
        <v>0</v>
      </c>
      <c r="F68">
        <f>COUNTIF(H68:AB68, "=0")</f>
        <v>0</v>
      </c>
      <c r="G68">
        <f>COUNTIF(H68:AB68, "&lt;0")</f>
        <v>0</v>
      </c>
    </row>
    <row r="69" spans="1:12" x14ac:dyDescent="0.25">
      <c r="A69" s="8" t="s">
        <v>97</v>
      </c>
      <c r="B69">
        <f>SUM(H69:AB69)</f>
        <v>0</v>
      </c>
      <c r="C69">
        <f>(B69/$C$1)*100</f>
        <v>0</v>
      </c>
      <c r="D69">
        <f>COUNTA(H69:AB69)</f>
        <v>0</v>
      </c>
      <c r="E69">
        <f>COUNTIF(H69:AB69, "&gt;0")</f>
        <v>0</v>
      </c>
      <c r="F69">
        <f>COUNTIF(H69:AB69, "=0")</f>
        <v>0</v>
      </c>
      <c r="G69">
        <f>COUNTIF(H69:AB69, "&lt;0")</f>
        <v>0</v>
      </c>
    </row>
    <row r="70" spans="1:12" x14ac:dyDescent="0.25">
      <c r="A70" t="s">
        <v>140</v>
      </c>
      <c r="B70">
        <f>SUM(H70:AB70)</f>
        <v>0</v>
      </c>
      <c r="C70">
        <f>(B70/$C$1)*100</f>
        <v>0</v>
      </c>
      <c r="D70">
        <f>COUNTA(H70:AB70)</f>
        <v>0</v>
      </c>
      <c r="E70">
        <f>COUNTIF(H70:AB70, "&gt;0")</f>
        <v>0</v>
      </c>
      <c r="F70">
        <f>COUNTIF(H70:AB70, "=0")</f>
        <v>0</v>
      </c>
      <c r="G70">
        <f>COUNTIF(H70:AB70, "&lt;0")</f>
        <v>0</v>
      </c>
      <c r="H70" s="15"/>
      <c r="I70" s="15"/>
      <c r="J70" s="15"/>
    </row>
    <row r="71" spans="1:12" x14ac:dyDescent="0.25">
      <c r="A71" s="4" t="s">
        <v>78</v>
      </c>
      <c r="B71">
        <f>SUM(H71:AB71)</f>
        <v>0</v>
      </c>
      <c r="C71">
        <f>(B71/$C$1)*100</f>
        <v>0</v>
      </c>
      <c r="D71">
        <f>COUNTA(H71:AB71)</f>
        <v>0</v>
      </c>
      <c r="E71">
        <f>COUNTIF(H71:AB71, "&gt;0")</f>
        <v>0</v>
      </c>
      <c r="F71">
        <f>COUNTIF(H71:AB71, "=0")</f>
        <v>0</v>
      </c>
      <c r="G71">
        <f>COUNTIF(H71:AB71, "&lt;0")</f>
        <v>0</v>
      </c>
    </row>
    <row r="72" spans="1:12" x14ac:dyDescent="0.25">
      <c r="A72" s="8" t="s">
        <v>94</v>
      </c>
      <c r="B72">
        <f>SUM(H72:AB72)</f>
        <v>0</v>
      </c>
      <c r="C72">
        <f>(B72/$C$1)*100</f>
        <v>0</v>
      </c>
      <c r="D72">
        <f>COUNTA(H72:AB72)</f>
        <v>0</v>
      </c>
      <c r="E72">
        <f>COUNTIF(H72:AB72, "&gt;0")</f>
        <v>0</v>
      </c>
      <c r="F72">
        <f>COUNTIF(H72:AB72, "=0")</f>
        <v>0</v>
      </c>
      <c r="G72">
        <f>COUNTIF(H72:AB72, "&lt;0")</f>
        <v>0</v>
      </c>
    </row>
    <row r="73" spans="1:12" x14ac:dyDescent="0.25">
      <c r="A73" s="4" t="s">
        <v>125</v>
      </c>
      <c r="B73">
        <f>SUM(H73:AB73)</f>
        <v>0</v>
      </c>
      <c r="C73">
        <f>(B73/$C$1)*100</f>
        <v>0</v>
      </c>
      <c r="D73">
        <f>COUNTA(H73:AB73)</f>
        <v>0</v>
      </c>
      <c r="E73">
        <f>COUNTIF(H73:AB73, "&gt;0")</f>
        <v>0</v>
      </c>
      <c r="F73">
        <f>COUNTIF(H73:AB73, "=0")</f>
        <v>0</v>
      </c>
      <c r="G73">
        <f>COUNTIF(H73:AB73, "&lt;0")</f>
        <v>0</v>
      </c>
    </row>
    <row r="74" spans="1:12" x14ac:dyDescent="0.25">
      <c r="A74" s="8" t="s">
        <v>133</v>
      </c>
      <c r="B74">
        <f>SUM(H74:AB74)</f>
        <v>0</v>
      </c>
      <c r="C74">
        <f>(B74/$C$1)*100</f>
        <v>0</v>
      </c>
      <c r="D74">
        <f>COUNTA(H74:AB74)</f>
        <v>0</v>
      </c>
      <c r="E74">
        <f>COUNTIF(H74:AB74, "&gt;0")</f>
        <v>0</v>
      </c>
      <c r="F74">
        <f>COUNTIF(H74:AB74, "=0")</f>
        <v>0</v>
      </c>
      <c r="G74">
        <f>COUNTIF(H74:AB74, "&lt;0")</f>
        <v>0</v>
      </c>
      <c r="H74" s="15"/>
    </row>
    <row r="75" spans="1:12" x14ac:dyDescent="0.25">
      <c r="A75" s="8" t="s">
        <v>92</v>
      </c>
      <c r="B75">
        <f>SUM(H75:AB75)</f>
        <v>0</v>
      </c>
      <c r="C75">
        <f>(B75/$C$1)*100</f>
        <v>0</v>
      </c>
      <c r="D75">
        <f>COUNTA(H75:AB75)</f>
        <v>0</v>
      </c>
      <c r="E75">
        <f>COUNTIF(H75:AB75, "&gt;0")</f>
        <v>0</v>
      </c>
      <c r="F75">
        <f>COUNTIF(H75:AB75, "=0")</f>
        <v>0</v>
      </c>
      <c r="G75">
        <f>COUNTIF(H75:AB75, "&lt;0")</f>
        <v>0</v>
      </c>
      <c r="H75" s="15"/>
      <c r="I75" s="15"/>
      <c r="J75" s="15"/>
      <c r="K75" s="15"/>
    </row>
    <row r="76" spans="1:12" x14ac:dyDescent="0.25">
      <c r="A76" t="s">
        <v>55</v>
      </c>
      <c r="B76">
        <f>SUM(H76:AB76)</f>
        <v>0</v>
      </c>
      <c r="C76">
        <f>(B76/$C$1)*100</f>
        <v>0</v>
      </c>
      <c r="D76">
        <f>COUNTA(H76:AB76)</f>
        <v>0</v>
      </c>
      <c r="E76">
        <f>COUNTIF(H76:AB76, "&gt;0")</f>
        <v>0</v>
      </c>
      <c r="F76">
        <f>COUNTIF(H76:AB76, "=0")</f>
        <v>0</v>
      </c>
      <c r="G76">
        <f>COUNTIF(H76:AB76, "&lt;0")</f>
        <v>0</v>
      </c>
      <c r="H76" s="15"/>
      <c r="I76" s="15"/>
      <c r="J76" s="15"/>
      <c r="K76" s="15"/>
      <c r="L76" s="15"/>
    </row>
    <row r="77" spans="1:12" x14ac:dyDescent="0.25">
      <c r="A77" s="6" t="s">
        <v>93</v>
      </c>
      <c r="B77">
        <f>SUM(H77:AB77)</f>
        <v>0</v>
      </c>
      <c r="C77">
        <f>(B77/$C$1)*100</f>
        <v>0</v>
      </c>
      <c r="D77">
        <f>COUNTA(H77:AB77)</f>
        <v>0</v>
      </c>
      <c r="E77">
        <f>COUNTIF(H77:AB77, "&gt;0")</f>
        <v>0</v>
      </c>
      <c r="F77">
        <f>COUNTIF(H77:AB77, "=0")</f>
        <v>0</v>
      </c>
      <c r="G77">
        <f>COUNTIF(H77:AB77, "&lt;0")</f>
        <v>0</v>
      </c>
      <c r="H77" s="15"/>
    </row>
    <row r="78" spans="1:12" x14ac:dyDescent="0.25">
      <c r="A78" s="6" t="s">
        <v>57</v>
      </c>
      <c r="B78">
        <f>SUM(H78:AB78)</f>
        <v>0</v>
      </c>
      <c r="C78">
        <f>(B78/$C$1)*100</f>
        <v>0</v>
      </c>
      <c r="D78">
        <f>COUNTA(H78:AB78)</f>
        <v>0</v>
      </c>
      <c r="E78">
        <f>COUNTIF(H78:AB78, "&gt;0")</f>
        <v>0</v>
      </c>
      <c r="F78">
        <f>COUNTIF(H78:AB78, "=0")</f>
        <v>0</v>
      </c>
      <c r="G78">
        <f>COUNTIF(H78:AB78, "&lt;0")</f>
        <v>0</v>
      </c>
      <c r="H78" s="15"/>
    </row>
    <row r="79" spans="1:12" x14ac:dyDescent="0.25">
      <c r="A79" s="4" t="s">
        <v>81</v>
      </c>
      <c r="B79">
        <f>SUM(H79:AB79)</f>
        <v>0</v>
      </c>
      <c r="C79">
        <f>(B79/$C$1)*100</f>
        <v>0</v>
      </c>
      <c r="D79">
        <f>COUNTA(H79:AB79)</f>
        <v>0</v>
      </c>
      <c r="E79">
        <f>COUNTIF(H79:AB79, "&gt;0")</f>
        <v>0</v>
      </c>
      <c r="F79">
        <f>COUNTIF(H79:AB79, "=0")</f>
        <v>0</v>
      </c>
      <c r="G79">
        <f>COUNTIF(H79:AB79, "&lt;0")</f>
        <v>0</v>
      </c>
      <c r="H79" s="15"/>
    </row>
    <row r="80" spans="1:12" x14ac:dyDescent="0.25">
      <c r="A80" t="s">
        <v>127</v>
      </c>
      <c r="B80">
        <f>SUM(H80:AB80)</f>
        <v>0</v>
      </c>
      <c r="C80">
        <f>(B80/$C$1)*100</f>
        <v>0</v>
      </c>
      <c r="D80">
        <f>COUNTA(H80:AB80)</f>
        <v>0</v>
      </c>
      <c r="E80">
        <f>COUNTIF(H80:AB80, "&gt;0")</f>
        <v>0</v>
      </c>
      <c r="F80">
        <f>COUNTIF(H80:AB80, "=0")</f>
        <v>0</v>
      </c>
      <c r="G80">
        <f>COUNTIF(H80:AB80, "&lt;0")</f>
        <v>0</v>
      </c>
      <c r="H80" s="15"/>
    </row>
  </sheetData>
  <sortState xmlns:xlrd2="http://schemas.microsoft.com/office/spreadsheetml/2017/richdata2" ref="A3:AB80">
    <sortCondition descending="1" ref="D3:D80"/>
  </sortState>
  <conditionalFormatting sqref="A64:A65 A73 A3:A62">
    <cfRule type="containsText" dxfId="118" priority="50" operator="containsText" text="LEG">
      <formula>NOT(ISERROR(SEARCH("LEG",A3)))</formula>
    </cfRule>
    <cfRule type="containsText" dxfId="117" priority="51" operator="containsText" text="VEG">
      <formula>NOT(ISERROR(SEARCH("VEG",A3)))</formula>
    </cfRule>
    <cfRule type="containsText" dxfId="116" priority="52" operator="containsText" text="VEG">
      <formula>NOT(ISERROR(SEARCH("VEG",A3)))</formula>
    </cfRule>
    <cfRule type="containsText" dxfId="115" priority="53" operator="containsText" text="WEG">
      <formula>NOT(ISERROR(SEARCH("WEG",A3)))</formula>
    </cfRule>
    <cfRule type="containsText" dxfId="114" priority="54" operator="containsText" text="UEG">
      <formula>NOT(ISERROR(SEARCH("UEG",A3)))</formula>
    </cfRule>
    <cfRule type="containsText" dxfId="113" priority="55" operator="containsText" text="SEG">
      <formula>NOT(ISERROR(SEARCH("SEG",A3)))</formula>
    </cfRule>
    <cfRule type="containsText" dxfId="112" priority="56" operator="containsText" text="PEG">
      <formula>NOT(ISERROR(SEARCH("PEG",A3)))</formula>
    </cfRule>
  </conditionalFormatting>
  <conditionalFormatting sqref="A63">
    <cfRule type="containsText" dxfId="111" priority="43" operator="containsText" text="LEG">
      <formula>NOT(ISERROR(SEARCH("LEG",A63)))</formula>
    </cfRule>
    <cfRule type="containsText" dxfId="110" priority="44" operator="containsText" text="VEG">
      <formula>NOT(ISERROR(SEARCH("VEG",A63)))</formula>
    </cfRule>
    <cfRule type="containsText" dxfId="109" priority="45" operator="containsText" text="VEG">
      <formula>NOT(ISERROR(SEARCH("VEG",A63)))</formula>
    </cfRule>
    <cfRule type="containsText" dxfId="108" priority="46" operator="containsText" text="WEG">
      <formula>NOT(ISERROR(SEARCH("WEG",A63)))</formula>
    </cfRule>
    <cfRule type="containsText" dxfId="107" priority="47" operator="containsText" text="UEG">
      <formula>NOT(ISERROR(SEARCH("UEG",A63)))</formula>
    </cfRule>
    <cfRule type="containsText" dxfId="106" priority="48" operator="containsText" text="SEG">
      <formula>NOT(ISERROR(SEARCH("SEG",A63)))</formula>
    </cfRule>
    <cfRule type="containsText" dxfId="105" priority="49" operator="containsText" text="PEG">
      <formula>NOT(ISERROR(SEARCH("PEG",A63)))</formula>
    </cfRule>
  </conditionalFormatting>
  <conditionalFormatting sqref="A69">
    <cfRule type="containsText" dxfId="104" priority="36" operator="containsText" text="LEG">
      <formula>NOT(ISERROR(SEARCH("LEG",A69)))</formula>
    </cfRule>
    <cfRule type="containsText" dxfId="103" priority="37" operator="containsText" text="VEG">
      <formula>NOT(ISERROR(SEARCH("VEG",A69)))</formula>
    </cfRule>
    <cfRule type="containsText" dxfId="102" priority="38" operator="containsText" text="VEG">
      <formula>NOT(ISERROR(SEARCH("VEG",A69)))</formula>
    </cfRule>
    <cfRule type="containsText" dxfId="101" priority="39" operator="containsText" text="WEG">
      <formula>NOT(ISERROR(SEARCH("WEG",A69)))</formula>
    </cfRule>
    <cfRule type="containsText" dxfId="100" priority="40" operator="containsText" text="UEG">
      <formula>NOT(ISERROR(SEARCH("UEG",A69)))</formula>
    </cfRule>
    <cfRule type="containsText" dxfId="99" priority="41" operator="containsText" text="SEG">
      <formula>NOT(ISERROR(SEARCH("SEG",A69)))</formula>
    </cfRule>
    <cfRule type="containsText" dxfId="98" priority="42" operator="containsText" text="PEG">
      <formula>NOT(ISERROR(SEARCH("PEG",A69)))</formula>
    </cfRule>
  </conditionalFormatting>
  <conditionalFormatting sqref="A67:A68">
    <cfRule type="containsText" dxfId="97" priority="29" operator="containsText" text="LEG">
      <formula>NOT(ISERROR(SEARCH("LEG",A67)))</formula>
    </cfRule>
    <cfRule type="containsText" dxfId="96" priority="30" operator="containsText" text="VEG">
      <formula>NOT(ISERROR(SEARCH("VEG",A67)))</formula>
    </cfRule>
    <cfRule type="containsText" dxfId="95" priority="31" operator="containsText" text="VEG">
      <formula>NOT(ISERROR(SEARCH("VEG",A67)))</formula>
    </cfRule>
    <cfRule type="containsText" dxfId="94" priority="32" operator="containsText" text="WEG">
      <formula>NOT(ISERROR(SEARCH("WEG",A67)))</formula>
    </cfRule>
    <cfRule type="containsText" dxfId="93" priority="33" operator="containsText" text="UEG">
      <formula>NOT(ISERROR(SEARCH("UEG",A67)))</formula>
    </cfRule>
    <cfRule type="containsText" dxfId="92" priority="34" operator="containsText" text="SEG">
      <formula>NOT(ISERROR(SEARCH("SEG",A67)))</formula>
    </cfRule>
    <cfRule type="containsText" dxfId="91" priority="35" operator="containsText" text="PEG">
      <formula>NOT(ISERROR(SEARCH("PEG",A67)))</formula>
    </cfRule>
  </conditionalFormatting>
  <conditionalFormatting sqref="A72">
    <cfRule type="containsText" dxfId="90" priority="22" operator="containsText" text="LEG">
      <formula>NOT(ISERROR(SEARCH("LEG",A72)))</formula>
    </cfRule>
    <cfRule type="containsText" dxfId="89" priority="23" operator="containsText" text="VEG">
      <formula>NOT(ISERROR(SEARCH("VEG",A72)))</formula>
    </cfRule>
    <cfRule type="containsText" dxfId="88" priority="24" operator="containsText" text="VEG">
      <formula>NOT(ISERROR(SEARCH("VEG",A72)))</formula>
    </cfRule>
    <cfRule type="containsText" dxfId="87" priority="25" operator="containsText" text="WEG">
      <formula>NOT(ISERROR(SEARCH("WEG",A72)))</formula>
    </cfRule>
    <cfRule type="containsText" dxfId="86" priority="26" operator="containsText" text="UEG">
      <formula>NOT(ISERROR(SEARCH("UEG",A72)))</formula>
    </cfRule>
    <cfRule type="containsText" dxfId="85" priority="27" operator="containsText" text="SEG">
      <formula>NOT(ISERROR(SEARCH("SEG",A72)))</formula>
    </cfRule>
    <cfRule type="containsText" dxfId="84" priority="28" operator="containsText" text="PEG">
      <formula>NOT(ISERROR(SEARCH("PEG",A72)))</formula>
    </cfRule>
  </conditionalFormatting>
  <conditionalFormatting sqref="A66">
    <cfRule type="containsText" dxfId="83" priority="15" operator="containsText" text="LEG">
      <formula>NOT(ISERROR(SEARCH("LEG",A66)))</formula>
    </cfRule>
    <cfRule type="containsText" dxfId="82" priority="16" operator="containsText" text="VEG">
      <formula>NOT(ISERROR(SEARCH("VEG",A66)))</formula>
    </cfRule>
    <cfRule type="containsText" dxfId="81" priority="17" operator="containsText" text="VEG">
      <formula>NOT(ISERROR(SEARCH("VEG",A66)))</formula>
    </cfRule>
    <cfRule type="containsText" dxfId="80" priority="18" operator="containsText" text="WEG">
      <formula>NOT(ISERROR(SEARCH("WEG",A66)))</formula>
    </cfRule>
    <cfRule type="containsText" dxfId="79" priority="19" operator="containsText" text="UEG">
      <formula>NOT(ISERROR(SEARCH("UEG",A66)))</formula>
    </cfRule>
    <cfRule type="containsText" dxfId="78" priority="20" operator="containsText" text="SEG">
      <formula>NOT(ISERROR(SEARCH("SEG",A66)))</formula>
    </cfRule>
    <cfRule type="containsText" dxfId="77" priority="21" operator="containsText" text="PEG">
      <formula>NOT(ISERROR(SEARCH("PEG",A66)))</formula>
    </cfRule>
  </conditionalFormatting>
  <conditionalFormatting sqref="A74">
    <cfRule type="containsText" dxfId="76" priority="8" operator="containsText" text="LEG">
      <formula>NOT(ISERROR(SEARCH("LEG",A74)))</formula>
    </cfRule>
    <cfRule type="containsText" dxfId="75" priority="9" operator="containsText" text="VEG">
      <formula>NOT(ISERROR(SEARCH("VEG",A74)))</formula>
    </cfRule>
    <cfRule type="containsText" dxfId="74" priority="10" operator="containsText" text="VEG">
      <formula>NOT(ISERROR(SEARCH("VEG",A74)))</formula>
    </cfRule>
    <cfRule type="containsText" dxfId="73" priority="11" operator="containsText" text="WEG">
      <formula>NOT(ISERROR(SEARCH("WEG",A74)))</formula>
    </cfRule>
    <cfRule type="containsText" dxfId="72" priority="12" operator="containsText" text="UEG">
      <formula>NOT(ISERROR(SEARCH("UEG",A74)))</formula>
    </cfRule>
    <cfRule type="containsText" dxfId="71" priority="13" operator="containsText" text="SEG">
      <formula>NOT(ISERROR(SEARCH("SEG",A74)))</formula>
    </cfRule>
    <cfRule type="containsText" dxfId="70" priority="14" operator="containsText" text="PEG">
      <formula>NOT(ISERROR(SEARCH("PEG",A74)))</formula>
    </cfRule>
  </conditionalFormatting>
  <conditionalFormatting sqref="A78">
    <cfRule type="containsText" dxfId="69" priority="1" operator="containsText" text="LEG">
      <formula>NOT(ISERROR(SEARCH("LEG",A78)))</formula>
    </cfRule>
    <cfRule type="containsText" dxfId="68" priority="2" operator="containsText" text="VEG">
      <formula>NOT(ISERROR(SEARCH("VEG",A78)))</formula>
    </cfRule>
    <cfRule type="containsText" dxfId="67" priority="3" operator="containsText" text="VEG">
      <formula>NOT(ISERROR(SEARCH("VEG",A78)))</formula>
    </cfRule>
    <cfRule type="containsText" dxfId="66" priority="4" operator="containsText" text="WEG">
      <formula>NOT(ISERROR(SEARCH("WEG",A78)))</formula>
    </cfRule>
    <cfRule type="containsText" dxfId="65" priority="5" operator="containsText" text="UEG">
      <formula>NOT(ISERROR(SEARCH("UEG",A78)))</formula>
    </cfRule>
    <cfRule type="containsText" dxfId="64" priority="6" operator="containsText" text="SEG">
      <formula>NOT(ISERROR(SEARCH("SEG",A78)))</formula>
    </cfRule>
    <cfRule type="containsText" dxfId="63" priority="7" operator="containsText" text="PEG">
      <formula>NOT(ISERROR(SEARCH("PEG",A78)))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DFBF-C543-47F1-873F-D8099BAC63AF}">
  <dimension ref="B2:B79"/>
  <sheetViews>
    <sheetView topLeftCell="A46" workbookViewId="0">
      <selection activeCell="B2" sqref="B2:B79"/>
    </sheetView>
  </sheetViews>
  <sheetFormatPr defaultRowHeight="15" x14ac:dyDescent="0.25"/>
  <cols>
    <col min="2" max="2" width="23.140625" customWidth="1"/>
  </cols>
  <sheetData>
    <row r="2" spans="2:2" x14ac:dyDescent="0.25">
      <c r="B2" s="8" t="s">
        <v>94</v>
      </c>
    </row>
    <row r="3" spans="2:2" x14ac:dyDescent="0.25">
      <c r="B3" s="8" t="s">
        <v>97</v>
      </c>
    </row>
    <row r="4" spans="2:2" x14ac:dyDescent="0.25">
      <c r="B4" s="8" t="s">
        <v>95</v>
      </c>
    </row>
    <row r="5" spans="2:2" x14ac:dyDescent="0.25">
      <c r="B5" t="s">
        <v>96</v>
      </c>
    </row>
    <row r="6" spans="2:2" x14ac:dyDescent="0.25">
      <c r="B6" s="8" t="s">
        <v>66</v>
      </c>
    </row>
    <row r="7" spans="2:2" x14ac:dyDescent="0.25">
      <c r="B7" t="s">
        <v>80</v>
      </c>
    </row>
    <row r="8" spans="2:2" x14ac:dyDescent="0.25">
      <c r="B8" s="4" t="s">
        <v>69</v>
      </c>
    </row>
    <row r="9" spans="2:2" x14ac:dyDescent="0.25">
      <c r="B9" s="8" t="s">
        <v>64</v>
      </c>
    </row>
    <row r="10" spans="2:2" x14ac:dyDescent="0.25">
      <c r="B10" s="4" t="s">
        <v>81</v>
      </c>
    </row>
    <row r="11" spans="2:2" x14ac:dyDescent="0.25">
      <c r="B11" s="8" t="s">
        <v>68</v>
      </c>
    </row>
    <row r="12" spans="2:2" x14ac:dyDescent="0.25">
      <c r="B12" t="s">
        <v>53</v>
      </c>
    </row>
    <row r="13" spans="2:2" x14ac:dyDescent="0.25">
      <c r="B13" s="6" t="s">
        <v>60</v>
      </c>
    </row>
    <row r="14" spans="2:2" x14ac:dyDescent="0.25">
      <c r="B14" s="4" t="s">
        <v>78</v>
      </c>
    </row>
    <row r="15" spans="2:2" x14ac:dyDescent="0.25">
      <c r="B15" s="8" t="s">
        <v>79</v>
      </c>
    </row>
    <row r="16" spans="2:2" x14ac:dyDescent="0.25">
      <c r="B16" t="s">
        <v>58</v>
      </c>
    </row>
    <row r="17" spans="2:2" x14ac:dyDescent="0.25">
      <c r="B17" s="4" t="s">
        <v>163</v>
      </c>
    </row>
    <row r="18" spans="2:2" x14ac:dyDescent="0.25">
      <c r="B18" s="8" t="s">
        <v>147</v>
      </c>
    </row>
    <row r="19" spans="2:2" x14ac:dyDescent="0.25">
      <c r="B19" s="4" t="s">
        <v>62</v>
      </c>
    </row>
    <row r="20" spans="2:2" x14ac:dyDescent="0.25">
      <c r="B20" s="6" t="s">
        <v>149</v>
      </c>
    </row>
    <row r="21" spans="2:2" x14ac:dyDescent="0.25">
      <c r="B21" s="6" t="s">
        <v>162</v>
      </c>
    </row>
    <row r="22" spans="2:2" x14ac:dyDescent="0.25">
      <c r="B22" s="8" t="s">
        <v>148</v>
      </c>
    </row>
    <row r="23" spans="2:2" x14ac:dyDescent="0.25">
      <c r="B23" t="s">
        <v>72</v>
      </c>
    </row>
    <row r="24" spans="2:2" x14ac:dyDescent="0.25">
      <c r="B24" s="4" t="s">
        <v>87</v>
      </c>
    </row>
    <row r="25" spans="2:2" x14ac:dyDescent="0.25">
      <c r="B25" s="8" t="s">
        <v>151</v>
      </c>
    </row>
    <row r="26" spans="2:2" x14ac:dyDescent="0.25">
      <c r="B26" t="s">
        <v>59</v>
      </c>
    </row>
    <row r="27" spans="2:2" x14ac:dyDescent="0.25">
      <c r="B27" s="6" t="s">
        <v>159</v>
      </c>
    </row>
    <row r="28" spans="2:2" x14ac:dyDescent="0.25">
      <c r="B28" s="5" t="s">
        <v>63</v>
      </c>
    </row>
    <row r="29" spans="2:2" x14ac:dyDescent="0.25">
      <c r="B29" s="8" t="s">
        <v>142</v>
      </c>
    </row>
    <row r="30" spans="2:2" x14ac:dyDescent="0.25">
      <c r="B30" t="s">
        <v>140</v>
      </c>
    </row>
    <row r="31" spans="2:2" x14ac:dyDescent="0.25">
      <c r="B31" t="s">
        <v>141</v>
      </c>
    </row>
    <row r="32" spans="2:2" x14ac:dyDescent="0.25">
      <c r="B32" t="s">
        <v>139</v>
      </c>
    </row>
    <row r="33" spans="2:2" x14ac:dyDescent="0.25">
      <c r="B33" s="8" t="s">
        <v>92</v>
      </c>
    </row>
    <row r="34" spans="2:2" x14ac:dyDescent="0.25">
      <c r="B34" s="6" t="s">
        <v>57</v>
      </c>
    </row>
    <row r="35" spans="2:2" x14ac:dyDescent="0.25">
      <c r="B35" t="s">
        <v>91</v>
      </c>
    </row>
    <row r="36" spans="2:2" x14ac:dyDescent="0.25">
      <c r="B36" s="8" t="s">
        <v>88</v>
      </c>
    </row>
    <row r="37" spans="2:2" x14ac:dyDescent="0.25">
      <c r="B37" s="8" t="s">
        <v>90</v>
      </c>
    </row>
    <row r="38" spans="2:2" x14ac:dyDescent="0.25">
      <c r="B38" s="6" t="s">
        <v>93</v>
      </c>
    </row>
    <row r="39" spans="2:2" x14ac:dyDescent="0.25">
      <c r="B39" s="6" t="s">
        <v>158</v>
      </c>
    </row>
    <row r="40" spans="2:2" x14ac:dyDescent="0.25">
      <c r="B40" s="8" t="s">
        <v>73</v>
      </c>
    </row>
    <row r="41" spans="2:2" x14ac:dyDescent="0.25">
      <c r="B41" t="s">
        <v>152</v>
      </c>
    </row>
    <row r="42" spans="2:2" x14ac:dyDescent="0.25">
      <c r="B42" t="s">
        <v>138</v>
      </c>
    </row>
    <row r="43" spans="2:2" x14ac:dyDescent="0.25">
      <c r="B43" s="8" t="s">
        <v>143</v>
      </c>
    </row>
    <row r="44" spans="2:2" x14ac:dyDescent="0.25">
      <c r="B44" t="s">
        <v>61</v>
      </c>
    </row>
    <row r="45" spans="2:2" x14ac:dyDescent="0.25">
      <c r="B45" t="s">
        <v>157</v>
      </c>
    </row>
    <row r="46" spans="2:2" x14ac:dyDescent="0.25">
      <c r="B46" s="6" t="s">
        <v>160</v>
      </c>
    </row>
    <row r="47" spans="2:2" x14ac:dyDescent="0.25">
      <c r="B47" t="s">
        <v>74</v>
      </c>
    </row>
    <row r="48" spans="2:2" x14ac:dyDescent="0.25">
      <c r="B48" s="8" t="s">
        <v>89</v>
      </c>
    </row>
    <row r="49" spans="2:2" x14ac:dyDescent="0.25">
      <c r="B49" s="4" t="s">
        <v>71</v>
      </c>
    </row>
    <row r="50" spans="2:2" x14ac:dyDescent="0.25">
      <c r="B50" s="8" t="s">
        <v>144</v>
      </c>
    </row>
    <row r="51" spans="2:2" x14ac:dyDescent="0.25">
      <c r="B51" s="8" t="s">
        <v>52</v>
      </c>
    </row>
    <row r="52" spans="2:2" x14ac:dyDescent="0.25">
      <c r="B52" t="s">
        <v>67</v>
      </c>
    </row>
    <row r="53" spans="2:2" x14ac:dyDescent="0.25">
      <c r="B53" t="s">
        <v>128</v>
      </c>
    </row>
    <row r="54" spans="2:2" x14ac:dyDescent="0.25">
      <c r="B54" t="s">
        <v>83</v>
      </c>
    </row>
    <row r="55" spans="2:2" x14ac:dyDescent="0.25">
      <c r="B55" t="s">
        <v>70</v>
      </c>
    </row>
    <row r="56" spans="2:2" x14ac:dyDescent="0.25">
      <c r="B56" s="6" t="s">
        <v>84</v>
      </c>
    </row>
    <row r="57" spans="2:2" x14ac:dyDescent="0.25">
      <c r="B57" t="s">
        <v>153</v>
      </c>
    </row>
    <row r="58" spans="2:2" x14ac:dyDescent="0.25">
      <c r="B58" s="6" t="s">
        <v>65</v>
      </c>
    </row>
    <row r="59" spans="2:2" x14ac:dyDescent="0.25">
      <c r="B59" s="8" t="s">
        <v>86</v>
      </c>
    </row>
    <row r="60" spans="2:2" x14ac:dyDescent="0.25">
      <c r="B60" s="6" t="s">
        <v>131</v>
      </c>
    </row>
    <row r="61" spans="2:2" x14ac:dyDescent="0.25">
      <c r="B61" s="4" t="s">
        <v>125</v>
      </c>
    </row>
    <row r="62" spans="2:2" x14ac:dyDescent="0.25">
      <c r="B62" t="s">
        <v>126</v>
      </c>
    </row>
    <row r="63" spans="2:2" x14ac:dyDescent="0.25">
      <c r="B63" t="s">
        <v>135</v>
      </c>
    </row>
    <row r="64" spans="2:2" x14ac:dyDescent="0.25">
      <c r="B64" s="8" t="s">
        <v>161</v>
      </c>
    </row>
    <row r="65" spans="2:2" x14ac:dyDescent="0.25">
      <c r="B65" s="8" t="s">
        <v>132</v>
      </c>
    </row>
    <row r="66" spans="2:2" x14ac:dyDescent="0.25">
      <c r="B66" t="s">
        <v>85</v>
      </c>
    </row>
    <row r="67" spans="2:2" x14ac:dyDescent="0.25">
      <c r="B67" s="8" t="s">
        <v>129</v>
      </c>
    </row>
    <row r="68" spans="2:2" x14ac:dyDescent="0.25">
      <c r="B68" s="8" t="s">
        <v>133</v>
      </c>
    </row>
    <row r="69" spans="2:2" x14ac:dyDescent="0.25">
      <c r="B69" t="s">
        <v>130</v>
      </c>
    </row>
    <row r="70" spans="2:2" x14ac:dyDescent="0.25">
      <c r="B70" s="8" t="s">
        <v>150</v>
      </c>
    </row>
    <row r="71" spans="2:2" x14ac:dyDescent="0.25">
      <c r="B71" t="s">
        <v>134</v>
      </c>
    </row>
    <row r="72" spans="2:2" x14ac:dyDescent="0.25">
      <c r="B72" t="s">
        <v>127</v>
      </c>
    </row>
    <row r="73" spans="2:2" x14ac:dyDescent="0.25">
      <c r="B73" t="s">
        <v>55</v>
      </c>
    </row>
    <row r="74" spans="2:2" x14ac:dyDescent="0.25">
      <c r="B74" t="s">
        <v>54</v>
      </c>
    </row>
    <row r="75" spans="2:2" x14ac:dyDescent="0.25">
      <c r="B75" t="s">
        <v>136</v>
      </c>
    </row>
    <row r="76" spans="2:2" x14ac:dyDescent="0.25">
      <c r="B76" t="s">
        <v>56</v>
      </c>
    </row>
    <row r="77" spans="2:2" x14ac:dyDescent="0.25">
      <c r="B77" s="8" t="s">
        <v>82</v>
      </c>
    </row>
    <row r="78" spans="2:2" x14ac:dyDescent="0.25">
      <c r="B78" s="8" t="s">
        <v>146</v>
      </c>
    </row>
    <row r="79" spans="2:2" x14ac:dyDescent="0.25">
      <c r="B79" t="s">
        <v>145</v>
      </c>
    </row>
  </sheetData>
  <sortState xmlns:xlrd2="http://schemas.microsoft.com/office/spreadsheetml/2017/richdata2" ref="B2:B79">
    <sortCondition ref="B2:B79"/>
  </sortState>
  <conditionalFormatting sqref="B63:B64 B72 B2:B61">
    <cfRule type="containsText" dxfId="62" priority="50" operator="containsText" text="LEG">
      <formula>NOT(ISERROR(SEARCH("LEG",B2)))</formula>
    </cfRule>
    <cfRule type="containsText" dxfId="61" priority="51" operator="containsText" text="VEG">
      <formula>NOT(ISERROR(SEARCH("VEG",B2)))</formula>
    </cfRule>
    <cfRule type="containsText" dxfId="60" priority="52" operator="containsText" text="VEG">
      <formula>NOT(ISERROR(SEARCH("VEG",B2)))</formula>
    </cfRule>
    <cfRule type="containsText" dxfId="59" priority="53" operator="containsText" text="WEG">
      <formula>NOT(ISERROR(SEARCH("WEG",B2)))</formula>
    </cfRule>
    <cfRule type="containsText" dxfId="58" priority="54" operator="containsText" text="UEG">
      <formula>NOT(ISERROR(SEARCH("UEG",B2)))</formula>
    </cfRule>
    <cfRule type="containsText" dxfId="57" priority="55" operator="containsText" text="SEG">
      <formula>NOT(ISERROR(SEARCH("SEG",B2)))</formula>
    </cfRule>
    <cfRule type="containsText" dxfId="56" priority="56" operator="containsText" text="PEG">
      <formula>NOT(ISERROR(SEARCH("PEG",B2)))</formula>
    </cfRule>
  </conditionalFormatting>
  <conditionalFormatting sqref="B62">
    <cfRule type="containsText" dxfId="55" priority="43" operator="containsText" text="LEG">
      <formula>NOT(ISERROR(SEARCH("LEG",B62)))</formula>
    </cfRule>
    <cfRule type="containsText" dxfId="54" priority="44" operator="containsText" text="VEG">
      <formula>NOT(ISERROR(SEARCH("VEG",B62)))</formula>
    </cfRule>
    <cfRule type="containsText" dxfId="53" priority="45" operator="containsText" text="VEG">
      <formula>NOT(ISERROR(SEARCH("VEG",B62)))</formula>
    </cfRule>
    <cfRule type="containsText" dxfId="52" priority="46" operator="containsText" text="WEG">
      <formula>NOT(ISERROR(SEARCH("WEG",B62)))</formula>
    </cfRule>
    <cfRule type="containsText" dxfId="51" priority="47" operator="containsText" text="UEG">
      <formula>NOT(ISERROR(SEARCH("UEG",B62)))</formula>
    </cfRule>
    <cfRule type="containsText" dxfId="50" priority="48" operator="containsText" text="SEG">
      <formula>NOT(ISERROR(SEARCH("SEG",B62)))</formula>
    </cfRule>
    <cfRule type="containsText" dxfId="49" priority="49" operator="containsText" text="PEG">
      <formula>NOT(ISERROR(SEARCH("PEG",B62)))</formula>
    </cfRule>
  </conditionalFormatting>
  <conditionalFormatting sqref="B68">
    <cfRule type="containsText" dxfId="48" priority="36" operator="containsText" text="LEG">
      <formula>NOT(ISERROR(SEARCH("LEG",B68)))</formula>
    </cfRule>
    <cfRule type="containsText" dxfId="47" priority="37" operator="containsText" text="VEG">
      <formula>NOT(ISERROR(SEARCH("VEG",B68)))</formula>
    </cfRule>
    <cfRule type="containsText" dxfId="46" priority="38" operator="containsText" text="VEG">
      <formula>NOT(ISERROR(SEARCH("VEG",B68)))</formula>
    </cfRule>
    <cfRule type="containsText" dxfId="45" priority="39" operator="containsText" text="WEG">
      <formula>NOT(ISERROR(SEARCH("WEG",B68)))</formula>
    </cfRule>
    <cfRule type="containsText" dxfId="44" priority="40" operator="containsText" text="UEG">
      <formula>NOT(ISERROR(SEARCH("UEG",B68)))</formula>
    </cfRule>
    <cfRule type="containsText" dxfId="43" priority="41" operator="containsText" text="SEG">
      <formula>NOT(ISERROR(SEARCH("SEG",B68)))</formula>
    </cfRule>
    <cfRule type="containsText" dxfId="42" priority="42" operator="containsText" text="PEG">
      <formula>NOT(ISERROR(SEARCH("PEG",B68)))</formula>
    </cfRule>
  </conditionalFormatting>
  <conditionalFormatting sqref="B66:B67">
    <cfRule type="containsText" dxfId="41" priority="29" operator="containsText" text="LEG">
      <formula>NOT(ISERROR(SEARCH("LEG",B66)))</formula>
    </cfRule>
    <cfRule type="containsText" dxfId="40" priority="30" operator="containsText" text="VEG">
      <formula>NOT(ISERROR(SEARCH("VEG",B66)))</formula>
    </cfRule>
    <cfRule type="containsText" dxfId="39" priority="31" operator="containsText" text="VEG">
      <formula>NOT(ISERROR(SEARCH("VEG",B66)))</formula>
    </cfRule>
    <cfRule type="containsText" dxfId="38" priority="32" operator="containsText" text="WEG">
      <formula>NOT(ISERROR(SEARCH("WEG",B66)))</formula>
    </cfRule>
    <cfRule type="containsText" dxfId="37" priority="33" operator="containsText" text="UEG">
      <formula>NOT(ISERROR(SEARCH("UEG",B66)))</formula>
    </cfRule>
    <cfRule type="containsText" dxfId="36" priority="34" operator="containsText" text="SEG">
      <formula>NOT(ISERROR(SEARCH("SEG",B66)))</formula>
    </cfRule>
    <cfRule type="containsText" dxfId="35" priority="35" operator="containsText" text="PEG">
      <formula>NOT(ISERROR(SEARCH("PEG",B66)))</formula>
    </cfRule>
  </conditionalFormatting>
  <conditionalFormatting sqref="B71">
    <cfRule type="containsText" dxfId="34" priority="22" operator="containsText" text="LEG">
      <formula>NOT(ISERROR(SEARCH("LEG",B71)))</formula>
    </cfRule>
    <cfRule type="containsText" dxfId="33" priority="23" operator="containsText" text="VEG">
      <formula>NOT(ISERROR(SEARCH("VEG",B71)))</formula>
    </cfRule>
    <cfRule type="containsText" dxfId="32" priority="24" operator="containsText" text="VEG">
      <formula>NOT(ISERROR(SEARCH("VEG",B71)))</formula>
    </cfRule>
    <cfRule type="containsText" dxfId="31" priority="25" operator="containsText" text="WEG">
      <formula>NOT(ISERROR(SEARCH("WEG",B71)))</formula>
    </cfRule>
    <cfRule type="containsText" dxfId="30" priority="26" operator="containsText" text="UEG">
      <formula>NOT(ISERROR(SEARCH("UEG",B71)))</formula>
    </cfRule>
    <cfRule type="containsText" dxfId="29" priority="27" operator="containsText" text="SEG">
      <formula>NOT(ISERROR(SEARCH("SEG",B71)))</formula>
    </cfRule>
    <cfRule type="containsText" dxfId="28" priority="28" operator="containsText" text="PEG">
      <formula>NOT(ISERROR(SEARCH("PEG",B71)))</formula>
    </cfRule>
  </conditionalFormatting>
  <conditionalFormatting sqref="B65">
    <cfRule type="containsText" dxfId="27" priority="15" operator="containsText" text="LEG">
      <formula>NOT(ISERROR(SEARCH("LEG",B65)))</formula>
    </cfRule>
    <cfRule type="containsText" dxfId="26" priority="16" operator="containsText" text="VEG">
      <formula>NOT(ISERROR(SEARCH("VEG",B65)))</formula>
    </cfRule>
    <cfRule type="containsText" dxfId="25" priority="17" operator="containsText" text="VEG">
      <formula>NOT(ISERROR(SEARCH("VEG",B65)))</formula>
    </cfRule>
    <cfRule type="containsText" dxfId="24" priority="18" operator="containsText" text="WEG">
      <formula>NOT(ISERROR(SEARCH("WEG",B65)))</formula>
    </cfRule>
    <cfRule type="containsText" dxfId="23" priority="19" operator="containsText" text="UEG">
      <formula>NOT(ISERROR(SEARCH("UEG",B65)))</formula>
    </cfRule>
    <cfRule type="containsText" dxfId="22" priority="20" operator="containsText" text="SEG">
      <formula>NOT(ISERROR(SEARCH("SEG",B65)))</formula>
    </cfRule>
    <cfRule type="containsText" dxfId="21" priority="21" operator="containsText" text="PEG">
      <formula>NOT(ISERROR(SEARCH("PEG",B65)))</formula>
    </cfRule>
  </conditionalFormatting>
  <conditionalFormatting sqref="B73">
    <cfRule type="containsText" dxfId="20" priority="8" operator="containsText" text="LEG">
      <formula>NOT(ISERROR(SEARCH("LEG",B73)))</formula>
    </cfRule>
    <cfRule type="containsText" dxfId="19" priority="9" operator="containsText" text="VEG">
      <formula>NOT(ISERROR(SEARCH("VEG",B73)))</formula>
    </cfRule>
    <cfRule type="containsText" dxfId="18" priority="10" operator="containsText" text="VEG">
      <formula>NOT(ISERROR(SEARCH("VEG",B73)))</formula>
    </cfRule>
    <cfRule type="containsText" dxfId="17" priority="11" operator="containsText" text="WEG">
      <formula>NOT(ISERROR(SEARCH("WEG",B73)))</formula>
    </cfRule>
    <cfRule type="containsText" dxfId="16" priority="12" operator="containsText" text="UEG">
      <formula>NOT(ISERROR(SEARCH("UEG",B73)))</formula>
    </cfRule>
    <cfRule type="containsText" dxfId="15" priority="13" operator="containsText" text="SEG">
      <formula>NOT(ISERROR(SEARCH("SEG",B73)))</formula>
    </cfRule>
    <cfRule type="containsText" dxfId="14" priority="14" operator="containsText" text="PEG">
      <formula>NOT(ISERROR(SEARCH("PEG",B73)))</formula>
    </cfRule>
  </conditionalFormatting>
  <conditionalFormatting sqref="B77">
    <cfRule type="containsText" dxfId="13" priority="1" operator="containsText" text="LEG">
      <formula>NOT(ISERROR(SEARCH("LEG",B77)))</formula>
    </cfRule>
    <cfRule type="containsText" dxfId="12" priority="2" operator="containsText" text="VEG">
      <formula>NOT(ISERROR(SEARCH("VEG",B77)))</formula>
    </cfRule>
    <cfRule type="containsText" dxfId="11" priority="3" operator="containsText" text="VEG">
      <formula>NOT(ISERROR(SEARCH("VEG",B77)))</formula>
    </cfRule>
    <cfRule type="containsText" dxfId="10" priority="4" operator="containsText" text="WEG">
      <formula>NOT(ISERROR(SEARCH("WEG",B77)))</formula>
    </cfRule>
    <cfRule type="containsText" dxfId="9" priority="5" operator="containsText" text="UEG">
      <formula>NOT(ISERROR(SEARCH("UEG",B77)))</formula>
    </cfRule>
    <cfRule type="containsText" dxfId="8" priority="6" operator="containsText" text="SEG">
      <formula>NOT(ISERROR(SEARCH("SEG",B77)))</formula>
    </cfRule>
    <cfRule type="containsText" dxfId="7" priority="7" operator="containsText" text="PEG">
      <formula>NOT(ISERROR(SEARCH("PEG",B77)))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Тикеры</vt:lpstr>
      <vt:lpstr>СтатПоТипу</vt:lpstr>
      <vt:lpstr>Динамика</vt:lpstr>
      <vt:lpstr>Результаты</vt:lpstr>
      <vt:lpstr>СумматорСегодня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2026-10-26T20:09:50Z</dcterms:modified>
</cp:coreProperties>
</file>